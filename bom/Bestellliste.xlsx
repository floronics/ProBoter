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560" yWindow="1560" windowWidth="27630" windowHeight="17745" tabRatio="600" firstSheet="0" activeTab="0" autoFilterDateGrouping="1"/>
  </bookViews>
  <sheets>
    <sheet name="Bestellliste" sheetId="1" state="visible" r:id="rId1"/>
    <sheet name="nach Hersteller" sheetId="2" state="visible" r:id="rId2"/>
  </sheets>
  <definedNames/>
  <calcPr calcId="191029" fullCalcOnLoad="1"/>
</workbook>
</file>

<file path=xl/styles.xml><?xml version="1.0" encoding="utf-8"?>
<styleSheet xmlns="http://schemas.openxmlformats.org/spreadsheetml/2006/main">
  <numFmts count="0"/>
  <fonts count="6">
    <font>
      <name val="Calibri"/>
      <family val="2"/>
      <color theme="1"/>
      <sz val="11"/>
      <scheme val="minor"/>
    </font>
    <font>
      <name val="Calibri"/>
      <b val="1"/>
      <sz val="14"/>
    </font>
    <font>
      <name val="Calibri"/>
      <b val="1"/>
      <sz val="11"/>
    </font>
    <font>
      <b val="1"/>
    </font>
    <font>
      <b val="1"/>
      <sz val="14"/>
    </font>
    <font>
      <i val="1"/>
    </font>
  </fonts>
  <fills count="4">
    <fill>
      <patternFill/>
    </fill>
    <fill>
      <patternFill patternType="gray125"/>
    </fill>
    <fill>
      <patternFill patternType="solid">
        <fgColor rgb="FFFFC000"/>
      </patternFill>
    </fill>
    <fill>
      <patternFill patternType="solid">
        <fgColor rgb="00FFFF00"/>
      </patternFill>
    </fill>
  </fills>
  <borders count="3">
    <border>
      <left/>
      <right/>
      <top/>
      <bottom/>
      <diagonal/>
    </border>
    <border>
      <left/>
      <right/>
      <top/>
      <bottom style="thin">
        <color rgb="FFBFBFBF"/>
      </bottom>
      <diagonal/>
    </border>
    <border>
      <bottom style="thin">
        <color rgb="00BFBFBF"/>
      </bottom>
    </border>
  </borders>
  <cellStyleXfs count="1">
    <xf numFmtId="0" fontId="0" fillId="0" borderId="0"/>
  </cellStyleXfs>
  <cellXfs count="18">
    <xf numFmtId="0" fontId="0" fillId="0" borderId="0" pivotButton="0" quotePrefix="0" xfId="0"/>
    <xf numFmtId="0" fontId="1" fillId="0" borderId="0" pivotButton="0" quotePrefix="0" xfId="0"/>
    <xf numFmtId="0" fontId="2" fillId="0" borderId="1" pivotButton="0" quotePrefix="0" xfId="0"/>
    <xf numFmtId="0" fontId="0" fillId="0" borderId="0" applyAlignment="1" pivotButton="0" quotePrefix="0" xfId="0">
      <alignment vertical="top" wrapText="1"/>
    </xf>
    <xf numFmtId="0" fontId="0" fillId="0" borderId="0" applyAlignment="1" pivotButton="0" quotePrefix="0" xfId="0">
      <alignment vertical="top"/>
    </xf>
    <xf numFmtId="0" fontId="2" fillId="0" borderId="0" applyAlignment="1" pivotButton="0" quotePrefix="0" xfId="0">
      <alignment vertical="top" wrapText="1"/>
    </xf>
    <xf numFmtId="4" fontId="0" fillId="0" borderId="0" applyAlignment="1" pivotButton="0" quotePrefix="0" xfId="0">
      <alignment vertical="top"/>
    </xf>
    <xf numFmtId="0" fontId="0" fillId="2" borderId="0" applyAlignment="1" pivotButton="0" quotePrefix="0" xfId="0">
      <alignment vertical="top"/>
    </xf>
    <xf numFmtId="4" fontId="2" fillId="0" borderId="0" applyAlignment="1" pivotButton="0" quotePrefix="0" xfId="0">
      <alignment vertical="top"/>
    </xf>
    <xf numFmtId="0" fontId="0" fillId="3" borderId="0" applyAlignment="1" pivotButton="0" quotePrefix="0" xfId="0">
      <alignment vertical="top" wrapText="1"/>
    </xf>
    <xf numFmtId="0" fontId="0" fillId="3" borderId="0" applyAlignment="1" pivotButton="0" quotePrefix="0" xfId="0">
      <alignment vertical="top"/>
    </xf>
    <xf numFmtId="4" fontId="0" fillId="3" borderId="0" applyAlignment="1" pivotButton="0" quotePrefix="0" xfId="0">
      <alignment vertical="top"/>
    </xf>
    <xf numFmtId="0" fontId="3" fillId="0" borderId="2" pivotButton="0" quotePrefix="0" xfId="0"/>
    <xf numFmtId="0" fontId="4" fillId="0" borderId="0" pivotButton="0" quotePrefix="0" xfId="0"/>
    <xf numFmtId="0" fontId="3" fillId="0" borderId="0" pivotButton="0" quotePrefix="0" xfId="0"/>
    <xf numFmtId="4" fontId="0" fillId="0" borderId="0" pivotButton="0" quotePrefix="0" xfId="0"/>
    <xf numFmtId="0" fontId="5" fillId="0" borderId="0" pivotButton="0" quotePrefix="0" xfId="0"/>
    <xf numFmtId="4" fontId="3" fillId="0" borderId="0" pivotButton="0" quotePrefix="0" xfId="0"/>
  </cellXfs>
  <cellStyles count="1">
    <cellStyle name="Standard"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103"/>
  <sheetViews>
    <sheetView tabSelected="1" workbookViewId="0">
      <pane ySplit="3" topLeftCell="A18" activePane="bottomLeft" state="frozen"/>
      <selection pane="bottomLeft" activeCell="A1" sqref="A1"/>
    </sheetView>
  </sheetViews>
  <sheetFormatPr baseColWidth="10" defaultColWidth="9.140625" defaultRowHeight="15"/>
  <cols>
    <col width="62" customWidth="1" min="1" max="1"/>
    <col width="16" customWidth="1" min="2" max="2"/>
    <col width="8" customWidth="1" min="3" max="3"/>
    <col width="14" customWidth="1" min="4" max="4"/>
    <col width="14" customWidth="1" min="5" max="5"/>
    <col width="9" customWidth="1" min="6" max="6"/>
    <col width="70" customWidth="1" min="7" max="7"/>
    <col width="14" customWidth="1" min="8" max="8"/>
  </cols>
  <sheetData>
    <row r="1" ht="18.75" customHeight="1">
      <c r="A1" s="1" t="inlineStr">
        <is>
          <t>Bestellliste ProBoter</t>
        </is>
      </c>
    </row>
    <row r="2"/>
    <row r="3">
      <c r="A3" s="2" t="inlineStr">
        <is>
          <t>Teil</t>
        </is>
      </c>
      <c r="B3" s="2" t="inlineStr">
        <is>
          <t>Shop</t>
        </is>
      </c>
      <c r="C3" s="2" t="inlineStr">
        <is>
          <t>Menge</t>
        </is>
      </c>
      <c r="D3" s="2" t="inlineStr">
        <is>
          <t>Einzelpreis inkl. MwSt. (€)</t>
        </is>
      </c>
      <c r="E3" s="2" t="inlineStr">
        <is>
          <t>Gesamt inkl. MwSt. (€)</t>
        </is>
      </c>
      <c r="F3" s="2" t="inlineStr">
        <is>
          <t>je Probe</t>
        </is>
      </c>
      <c r="G3" s="2" t="inlineStr">
        <is>
          <t>Link</t>
        </is>
      </c>
      <c r="H3" s="12" t="inlineStr">
        <is>
          <t>Status</t>
        </is>
      </c>
    </row>
    <row r="4">
      <c r="A4" s="3" t="n"/>
      <c r="B4" s="4" t="n"/>
      <c r="C4" s="4" t="n"/>
      <c r="D4" s="4" t="n"/>
      <c r="E4" s="4" t="n"/>
      <c r="F4" s="4" t="n"/>
      <c r="G4" s="4" t="n"/>
    </row>
    <row r="5">
      <c r="A5" s="5" t="inlineStr">
        <is>
          <t>Gestell (einmalig)</t>
        </is>
      </c>
      <c r="B5" s="4" t="n"/>
      <c r="C5" s="4" t="n"/>
      <c r="D5" s="4" t="n"/>
      <c r="E5" s="4" t="n"/>
      <c r="F5" s="4" t="n"/>
      <c r="G5" s="4" t="n"/>
    </row>
    <row r="6">
      <c r="A6" s="3" t="inlineStr">
        <is>
          <t>Gelenkfuß M6x20, Teller 40mm mit Ant-Slip-Platte</t>
        </is>
      </c>
      <c r="B6" s="4" t="inlineStr">
        <is>
          <t>DOLD</t>
        </is>
      </c>
      <c r="C6" s="4" t="n">
        <v>4</v>
      </c>
      <c r="D6" s="6" t="n">
        <v>1.83</v>
      </c>
      <c r="E6" s="6">
        <f>IF(AND(ISNUMBER(C6),ISNUMBER(D6)),C6*D6,0)</f>
        <v/>
      </c>
      <c r="F6" s="4" t="n"/>
      <c r="G6" s="4" t="inlineStr">
        <is>
          <t>https://www.dold-mechatronik.de/Gelenkfuss-Reihe-10-PA-Gewindestange-mit-Kugel-10mm-M6x20-Schluesselweite-10-Teller-40mm-mit-Anti-Slip-Platte-40-d385</t>
        </is>
      </c>
      <c r="H6" t="inlineStr">
        <is>
          <t>identifiziert</t>
        </is>
      </c>
    </row>
    <row r="7">
      <c r="A7" s="3" t="inlineStr">
        <is>
          <t>Winkel 30 I-Typ inkl. Befestigungssatz</t>
        </is>
      </c>
      <c r="B7" s="4" t="inlineStr">
        <is>
          <t>DOLD</t>
        </is>
      </c>
      <c r="C7" s="4" t="n">
        <v>22</v>
      </c>
      <c r="D7" s="6" t="n">
        <v>1.91</v>
      </c>
      <c r="E7" s="6">
        <f>IF(AND(ISNUMBER(C7),ISNUMBER(D7)),C7*D7,0)</f>
        <v/>
      </c>
      <c r="F7" s="4" t="n"/>
      <c r="G7" s="4" t="inlineStr">
        <is>
          <t>https://www.dold-mechatronik.de/Winkel-30-I-Typ-Nut-6-inkl-Befestigungssatz-und-Abdeckkappe</t>
        </is>
      </c>
      <c r="H7" t="inlineStr">
        <is>
          <t>identifiziert</t>
        </is>
      </c>
    </row>
    <row r="8">
      <c r="A8" s="3" t="inlineStr">
        <is>
          <t>Bügelgriff 100mm mit Befestigungsbohrungen</t>
        </is>
      </c>
      <c r="B8" s="4" t="inlineStr">
        <is>
          <t>DOLD</t>
        </is>
      </c>
      <c r="C8" s="4" t="n">
        <v>1</v>
      </c>
      <c r="D8" s="6" t="n">
        <v>8.51</v>
      </c>
      <c r="E8" s="6">
        <f>IF(AND(ISNUMBER(C8),ISNUMBER(D8)),C8*D8,0)</f>
        <v/>
      </c>
      <c r="F8" s="4" t="n"/>
      <c r="G8" s="4" t="inlineStr">
        <is>
          <t>https://www.dold-mechatronik.de/Buegelgriff-100mm-mit-Befestigungsbohrungen</t>
        </is>
      </c>
      <c r="H8" t="inlineStr">
        <is>
          <t>identifiziert</t>
        </is>
      </c>
    </row>
    <row r="9" ht="45" customHeight="1">
      <c r="A9" s="3" t="inlineStr">
        <is>
          <t>Teleskopschienen Vollauszug 45 kg, 350 mm (1 Paar), DOLD HS-4613-350</t>
        </is>
      </c>
      <c r="B9" s="4" t="inlineStr">
        <is>
          <t>DOLD</t>
        </is>
      </c>
      <c r="C9" s="4" t="n">
        <v>1</v>
      </c>
      <c r="D9" s="6" t="n">
        <v>10.84</v>
      </c>
      <c r="E9" s="6">
        <f>IF(AND(ISNUMBER(C9),ISNUMBER(D9)),C9*D9,0)</f>
        <v/>
      </c>
      <c r="F9" s="4" t="n"/>
      <c r="G9" s="4" t="inlineStr">
        <is>
          <t>https://www.dold-mechatronik.de/Vollauszug-45kg-350mm-(1-Paar-Teleskopschienen)</t>
        </is>
      </c>
      <c r="H9" t="inlineStr">
        <is>
          <t>identifiziert</t>
        </is>
      </c>
    </row>
    <row r="10" ht="45" customHeight="1">
      <c r="A10" s="3" t="inlineStr">
        <is>
          <t>Aluprofil I-Typ 80x16S Nut 8, 650 mm (Energieketten-Halter)</t>
        </is>
      </c>
      <c r="B10" s="4" t="inlineStr">
        <is>
          <t>DOLD</t>
        </is>
      </c>
      <c r="C10" s="4" t="n">
        <v>2</v>
      </c>
      <c r="D10" s="6">
        <f>0.65*28+0.5</f>
        <v/>
      </c>
      <c r="E10" s="6">
        <f>IF(AND(ISNUMBER(C10),ISNUMBER(D10)),C10*D10,0)</f>
        <v/>
      </c>
      <c r="F10" s="4" t="n"/>
      <c r="G10" s="4" t="inlineStr">
        <is>
          <t>https://www.dold-mechatronik.de/Aluminiumprofil-80x16S-I-Typ-Nut-8-schwer-22kg-m-Zuschnitt-50-6000mm</t>
        </is>
      </c>
      <c r="H10" t="inlineStr">
        <is>
          <t>identifiziert</t>
        </is>
      </c>
    </row>
    <row r="11">
      <c r="A11" s="3" t="inlineStr">
        <is>
          <t>Aluprofil I-Typ 30x60x650</t>
        </is>
      </c>
      <c r="B11" s="4" t="inlineStr">
        <is>
          <t>DOLD</t>
        </is>
      </c>
      <c r="C11" s="4" t="n">
        <v>2</v>
      </c>
      <c r="D11" s="6" t="n">
        <v>11.35</v>
      </c>
      <c r="E11" s="6">
        <f>IF(AND(ISNUMBER(C11),ISNUMBER(D11)),C11*D11,0)</f>
        <v/>
      </c>
      <c r="F11" s="4" t="n"/>
      <c r="G11" s="4" t="inlineStr">
        <is>
          <t>https://www.dold-mechatronik.de/Aluminiumprofil-30x60L-I-Typ-Nut-6-ZUSCHNITT-bis-1200-mm-1700-EUR-m-030-EUR-pro-Schnitt</t>
        </is>
      </c>
      <c r="H11" t="inlineStr">
        <is>
          <t>identifiziert</t>
        </is>
      </c>
    </row>
    <row r="12" ht="30" customHeight="1">
      <c r="A12" s="3" t="inlineStr">
        <is>
          <t>Aluprofil I-Typ 30x30x350</t>
        </is>
      </c>
      <c r="B12" s="4" t="inlineStr">
        <is>
          <t>DOLD</t>
        </is>
      </c>
      <c r="C12" s="4" t="n">
        <v>10</v>
      </c>
      <c r="D12" s="6" t="n">
        <v>3.23</v>
      </c>
      <c r="E12" s="6">
        <f>IF(AND(ISNUMBER(C12),ISNUMBER(D12)),C12*D12,0)</f>
        <v/>
      </c>
      <c r="F12" s="4" t="n"/>
      <c r="G12" s="4" t="inlineStr">
        <is>
          <t>https://www.dold-mechatronik.de/Aluminiumprofil-30x30L-I-Typ-Nut-6-ZUSCHNITT-bis-1200-mm-850-EUR-m-025-EUR-pro-Schnitt</t>
        </is>
      </c>
      <c r="H12" t="inlineStr">
        <is>
          <t>identifiziert</t>
        </is>
      </c>
    </row>
    <row r="13">
      <c r="A13" s="3" t="inlineStr">
        <is>
          <t>Aluprofil I-Typ 30x30x590</t>
        </is>
      </c>
      <c r="B13" s="4" t="inlineStr">
        <is>
          <t>DOLD</t>
        </is>
      </c>
      <c r="C13" s="4" t="n">
        <v>3</v>
      </c>
      <c r="D13" s="6" t="n">
        <v>5.27</v>
      </c>
      <c r="E13" s="6">
        <f>IF(AND(ISNUMBER(C13),ISNUMBER(D13)),C13*D13,0)</f>
        <v/>
      </c>
      <c r="F13" s="4" t="n"/>
      <c r="G13" s="4" t="inlineStr">
        <is>
          <t>https://www.dold-mechatronik.de/Aluminiumprofil-30x30L-I-Typ-Nut-6-ZUSCHNITT-bis-1200-mm-850-EUR-m-025-EUR-pro-Schnitt</t>
        </is>
      </c>
      <c r="H13" t="inlineStr">
        <is>
          <t>identifiziert</t>
        </is>
      </c>
    </row>
    <row r="14">
      <c r="A14" s="3" t="inlineStr">
        <is>
          <t>Aluprofil I-Typ 30x30x564</t>
        </is>
      </c>
      <c r="B14" s="4" t="inlineStr">
        <is>
          <t>DOLD</t>
        </is>
      </c>
      <c r="C14" s="4" t="n">
        <v>2</v>
      </c>
      <c r="D14" s="6" t="n">
        <v>5.04</v>
      </c>
      <c r="E14" s="6">
        <f>IF(AND(ISNUMBER(C14),ISNUMBER(D14)),C14*D14,0)</f>
        <v/>
      </c>
      <c r="F14" s="4" t="n"/>
      <c r="G14" s="4" t="inlineStr">
        <is>
          <t>https://www.dold-mechatronik.de/Aluminiumprofil-30x30L-I-Typ-Nut-6-ZUSCHNITT-bis-1200-mm-850-EUR-m-025-EUR-pro-Schnitt</t>
        </is>
      </c>
      <c r="H14" t="inlineStr">
        <is>
          <t>identifiziert</t>
        </is>
      </c>
    </row>
    <row r="15">
      <c r="A15" s="3" t="inlineStr">
        <is>
          <t>Schubladenplatte</t>
        </is>
      </c>
      <c r="B15" s="4" t="n"/>
      <c r="C15" s="4" t="n">
        <v>1</v>
      </c>
      <c r="D15" s="6" t="n">
        <v>10</v>
      </c>
      <c r="E15" s="6">
        <f>IF(AND(ISNUMBER(C15),ISNUMBER(D15)),C15*D15,0)</f>
        <v/>
      </c>
      <c r="F15" s="4" t="n"/>
      <c r="G15" s="7" t="n"/>
    </row>
    <row r="16">
      <c r="A16" s="3" t="inlineStr">
        <is>
          <t>Motorplatte, Stahl gelasert, 5mm</t>
        </is>
      </c>
      <c r="B16" s="4" t="inlineStr">
        <is>
          <t>Werkstatt</t>
        </is>
      </c>
      <c r="C16" s="4" t="n">
        <v>2</v>
      </c>
      <c r="D16" s="6" t="n">
        <v>80</v>
      </c>
      <c r="E16" s="6">
        <f>IF(AND(ISNUMBER(C16),ISNUMBER(D16)),C16*D16,0)</f>
        <v/>
      </c>
      <c r="F16" s="4" t="n"/>
      <c r="G16" s="7" t="n"/>
      <c r="H16" t="inlineStr">
        <is>
          <t>identifiziert</t>
        </is>
      </c>
    </row>
    <row r="17" ht="45" customHeight="1">
      <c r="A17" s="3" t="inlineStr">
        <is>
          <t>Profilschienenführung, MR12, 600mm, Edelstahl</t>
        </is>
      </c>
      <c r="B17" s="4" t="inlineStr">
        <is>
          <t>DOLD</t>
        </is>
      </c>
      <c r="C17" s="4" t="n">
        <v>2</v>
      </c>
      <c r="D17" s="6" t="n">
        <v>82.2</v>
      </c>
      <c r="E17" s="6">
        <f>IF(AND(ISNUMBER(C17),ISNUMBER(D17)),C17*D17,0)</f>
        <v/>
      </c>
      <c r="F17" s="4" t="n"/>
      <c r="G17" s="4" t="inlineStr">
        <is>
          <t>https://www.dold-mechatronik.de/Linearfuehrung-MR-12-M-Edelstahl-600mm</t>
        </is>
      </c>
      <c r="H17" t="inlineStr">
        <is>
          <t>identifiziert</t>
        </is>
      </c>
    </row>
    <row r="18" ht="90" customHeight="1">
      <c r="A18" s="3" t="inlineStr">
        <is>
          <t>Übersichtskamera ELP 8MP USB-Kameramodul IMX179, 75° ohne Verzerrung</t>
        </is>
      </c>
      <c r="B18" s="4" t="inlineStr">
        <is>
          <t>Amazon</t>
        </is>
      </c>
      <c r="C18" s="4" t="n">
        <v>1</v>
      </c>
      <c r="D18" s="6" t="n">
        <v>63</v>
      </c>
      <c r="E18" s="6">
        <f>IF(AND(ISNUMBER(C18),ISNUMBER(D18)),C18*D18,0)</f>
        <v/>
      </c>
      <c r="F18" s="4" t="n"/>
      <c r="G18" s="4" t="inlineStr">
        <is>
          <t>https://www.amazon.de/dp/B07FXBW81G</t>
        </is>
      </c>
      <c r="H18" t="inlineStr">
        <is>
          <t>identifiziert</t>
        </is>
      </c>
    </row>
    <row r="19">
      <c r="A19" s="3" t="inlineStr">
        <is>
          <t>Teller 40 für Gelenkstellfuß Kugel 10 mm, Kunststoff (Ersatz)</t>
        </is>
      </c>
      <c r="B19" s="4" t="inlineStr">
        <is>
          <t>DOLD</t>
        </is>
      </c>
      <c r="C19" s="4" t="n">
        <v>1</v>
      </c>
      <c r="D19" s="6" t="n">
        <v>0.53</v>
      </c>
      <c r="E19" s="6">
        <f>IF(AND(ISNUMBER(C19),ISNUMBER(D19)),C19*D19,0)</f>
        <v/>
      </c>
      <c r="F19" s="4" t="n"/>
      <c r="G19" s="4" t="inlineStr">
        <is>
          <t>https://www.dold-mechatronik.de/Teller-40-fuer-Gelenkstellfuss-Kugel-10mm-Kunststoff</t>
        </is>
      </c>
      <c r="H19" t="inlineStr">
        <is>
          <t>identifiziert</t>
        </is>
      </c>
    </row>
    <row r="20">
      <c r="A20" s="3" t="n"/>
      <c r="B20" s="4" t="n"/>
      <c r="C20" s="4" t="n"/>
      <c r="D20" s="4" t="n"/>
      <c r="E20" s="4" t="n"/>
      <c r="F20" s="4" t="n"/>
      <c r="G20" s="4" t="n"/>
    </row>
    <row r="21">
      <c r="A21" s="5" t="inlineStr">
        <is>
          <t>X-Antrieb (je Probe)</t>
        </is>
      </c>
      <c r="B21" s="4" t="n"/>
      <c r="C21" s="4" t="n"/>
      <c r="D21" s="4" t="n"/>
      <c r="E21" s="4" t="n"/>
      <c r="F21" s="4" t="n"/>
      <c r="G21" s="4" t="n"/>
    </row>
    <row r="22" ht="105" customHeight="1">
      <c r="A22" s="3" t="inlineStr">
        <is>
          <t>Schrittmotor NEMA 14 – StepperOnline 14HS13-0804S</t>
        </is>
      </c>
      <c r="B22" s="4" t="inlineStr">
        <is>
          <t>StepperOnline</t>
        </is>
      </c>
      <c r="C22" s="4" t="n">
        <v>2</v>
      </c>
      <c r="D22" s="6" t="n">
        <v>7.72</v>
      </c>
      <c r="E22" s="6">
        <f>IF(AND(ISNUMBER(C22),ISNUMBER(D22)),C22*D22,0)</f>
        <v/>
      </c>
      <c r="F22" s="4" t="inlineStr">
        <is>
          <t>x</t>
        </is>
      </c>
      <c r="G22" s="4" t="inlineStr">
        <is>
          <t>https://www.omc-stepperonline.com/de/nema-14-bipolar-1-8deg-18ncm-25-5oz-in-0-8a-5-74v-35x35x34mm-4-draehte-14hs13-0804s</t>
        </is>
      </c>
      <c r="H22" t="inlineStr">
        <is>
          <t>identifiziert</t>
        </is>
      </c>
    </row>
    <row r="23" ht="30" customHeight="1">
      <c r="A23" s="3" t="inlineStr">
        <is>
          <t>Endschalter induktiv M8, LJ8A3-2-Z/BX (NPN, Schließer, 2 mm)</t>
        </is>
      </c>
      <c r="B23" s="4" t="inlineStr">
        <is>
          <t>Amazon</t>
        </is>
      </c>
      <c r="C23" s="4" t="n">
        <v>2</v>
      </c>
      <c r="D23" s="6" t="n">
        <v>6.89</v>
      </c>
      <c r="E23" s="6">
        <f>IF(AND(ISNUMBER(C23),ISNUMBER(D23)),C23*D23,0)</f>
        <v/>
      </c>
      <c r="F23" s="4" t="inlineStr">
        <is>
          <t>x</t>
        </is>
      </c>
      <c r="G23" s="4" t="inlineStr">
        <is>
          <t>https://www.amazon.de/Induktive-N%C3%A4herungsschalter-LJ8-A3-2-z-BX-Normalerweise/dp/B072Q68493/</t>
        </is>
      </c>
      <c r="H23" t="inlineStr">
        <is>
          <t>identifiziert</t>
        </is>
      </c>
    </row>
    <row r="24">
      <c r="A24" s="3" t="n"/>
      <c r="B24" s="4" t="n"/>
      <c r="C24" s="4" t="n"/>
      <c r="D24" s="4" t="n"/>
      <c r="E24" s="4" t="n"/>
      <c r="F24" s="4" t="n"/>
      <c r="G24" s="4" t="n"/>
    </row>
    <row r="25">
      <c r="A25" s="5" t="inlineStr">
        <is>
          <t>X-Schlitten inkl. Y-Antrieb / Führung (je Probe)</t>
        </is>
      </c>
      <c r="B25" s="4" t="n"/>
      <c r="C25" s="4" t="n"/>
      <c r="D25" s="4" t="n"/>
      <c r="E25" s="4" t="n"/>
      <c r="F25" s="4" t="n"/>
      <c r="G25" s="4" t="n"/>
    </row>
    <row r="26">
      <c r="A26" s="3" t="inlineStr">
        <is>
          <t>Linearwagen MR12 MN-SS-V0-N</t>
        </is>
      </c>
      <c r="B26" s="4" t="inlineStr">
        <is>
          <t>Motedis</t>
        </is>
      </c>
      <c r="C26" s="4" t="n">
        <v>2</v>
      </c>
      <c r="D26" s="6" t="n">
        <v>18.6</v>
      </c>
      <c r="E26" s="6">
        <f>IF(AND(ISNUMBER(C26),ISNUMBER(D26)),C26*D26,0)</f>
        <v/>
      </c>
      <c r="F26" s="4" t="inlineStr">
        <is>
          <t>x</t>
        </is>
      </c>
      <c r="G26" s="4" t="inlineStr">
        <is>
          <t>https://www.motedis.com/shop/Dynamik-Lineareinheiten/Profilschienenfuehrungen-fuer-die-Linearbewegung/Profilschienenfuehrungen/Fuehrungswagen-Miniatur-MR12MN-SS-V0-N::6097.html</t>
        </is>
      </c>
      <c r="H26" t="inlineStr">
        <is>
          <t>identifiziert</t>
        </is>
      </c>
    </row>
    <row r="27">
      <c r="A27" s="3" t="inlineStr">
        <is>
          <t>Aluprofil 40x16S I-Typ, 436mm</t>
        </is>
      </c>
      <c r="B27" s="4" t="inlineStr">
        <is>
          <t>DOLD</t>
        </is>
      </c>
      <c r="C27" s="4" t="n">
        <v>1</v>
      </c>
      <c r="D27" s="6" t="n">
        <v>4.83</v>
      </c>
      <c r="E27" s="6">
        <f>IF(AND(ISNUMBER(C27),ISNUMBER(D27)),C27*D27,0)</f>
        <v/>
      </c>
      <c r="F27" s="4" t="inlineStr">
        <is>
          <t>x</t>
        </is>
      </c>
      <c r="G27" s="4" t="inlineStr">
        <is>
          <t>https://www.dold-mechatronik.de/Aluminiumprofil-40x16S-I-Typ-Nut-8-ZUSCHNITT-bis-1200-mm-1050-EUR-m-025-EUR-pro-Schnitt</t>
        </is>
      </c>
      <c r="H27" t="inlineStr">
        <is>
          <t>identifiziert</t>
        </is>
      </c>
    </row>
    <row r="28">
      <c r="A28" s="3" t="inlineStr">
        <is>
          <t>Seitenplatten, Stahl, gelasert, 5mm</t>
        </is>
      </c>
      <c r="B28" s="4" t="inlineStr">
        <is>
          <t>Werkstatt</t>
        </is>
      </c>
      <c r="C28" s="4" t="n">
        <v>2</v>
      </c>
      <c r="D28" s="6" t="n">
        <v>35</v>
      </c>
      <c r="E28" s="6">
        <f>IF(AND(ISNUMBER(C28),ISNUMBER(D28)),C28*D28,0)</f>
        <v/>
      </c>
      <c r="F28" s="4" t="inlineStr">
        <is>
          <t>x</t>
        </is>
      </c>
      <c r="G28" s="7" t="n"/>
      <c r="H28" t="inlineStr">
        <is>
          <t>identifiziert</t>
        </is>
      </c>
    </row>
    <row r="29" ht="105" customHeight="1">
      <c r="A29" s="3" t="inlineStr">
        <is>
          <t>Schrittmotor NEMA 14 – StepperOnline 14HS13-0804S</t>
        </is>
      </c>
      <c r="B29" s="4" t="inlineStr">
        <is>
          <t>StepperOnline</t>
        </is>
      </c>
      <c r="C29" s="4" t="n">
        <v>1</v>
      </c>
      <c r="D29" s="6" t="n">
        <v>7.72</v>
      </c>
      <c r="E29" s="6">
        <f>IF(AND(ISNUMBER(C29),ISNUMBER(D29)),C29*D29,0)</f>
        <v/>
      </c>
      <c r="F29" s="4" t="inlineStr">
        <is>
          <t>x</t>
        </is>
      </c>
      <c r="G29" s="4" t="inlineStr">
        <is>
          <t>https://www.omc-stepperonline.com/de/nema-14-bipolar-1-8deg-18ncm-25-5oz-in-0-8a-5-74v-35x35x34mm-4-draehte-14hs13-0804s</t>
        </is>
      </c>
      <c r="H29" t="inlineStr">
        <is>
          <t>identifiziert</t>
        </is>
      </c>
    </row>
    <row r="30" ht="30" customHeight="1">
      <c r="A30" s="3" t="inlineStr">
        <is>
          <t>Wellenhalter Flansch SHF10, D10</t>
        </is>
      </c>
      <c r="B30" s="4" t="inlineStr">
        <is>
          <t>DOLD</t>
        </is>
      </c>
      <c r="C30" s="4" t="n">
        <v>4</v>
      </c>
      <c r="D30" s="6" t="n">
        <v>3.8</v>
      </c>
      <c r="E30" s="6">
        <f>IF(AND(ISNUMBER(C30),ISNUMBER(D30)),C30*D30,0)</f>
        <v/>
      </c>
      <c r="F30" s="4" t="inlineStr">
        <is>
          <t>x</t>
        </is>
      </c>
      <c r="G30" s="4" t="inlineStr">
        <is>
          <t>https://www.dold-mechatronik.de/Wellenhalter-Flansch-SHF-Ausfuehrung-waehlbar</t>
        </is>
      </c>
      <c r="H30" t="inlineStr">
        <is>
          <t>identifiziert</t>
        </is>
      </c>
    </row>
    <row r="31">
      <c r="A31" s="3" t="inlineStr">
        <is>
          <t>Präzisionswelle D10, 450mm mit M6 Gewinde</t>
        </is>
      </c>
      <c r="B31" s="4" t="inlineStr">
        <is>
          <t>DOLD</t>
        </is>
      </c>
      <c r="C31" s="4" t="n">
        <v>2</v>
      </c>
      <c r="D31" s="6" t="n">
        <v>8.699999999999999</v>
      </c>
      <c r="E31" s="6">
        <f>IF(AND(ISNUMBER(C31),ISNUMBER(D31)),C31*D31,0)</f>
        <v/>
      </c>
      <c r="F31" s="4" t="inlineStr">
        <is>
          <t>x</t>
        </is>
      </c>
      <c r="G31" s="4" t="inlineStr">
        <is>
          <t>https://www.dold-mechatronik.de/Praezisionswelle-10mm-h6-geschliffen-gehaertet-450mm-mit-Gewindebohrungen-M5x20</t>
        </is>
      </c>
      <c r="H31" t="inlineStr">
        <is>
          <t>identifiziert</t>
        </is>
      </c>
    </row>
    <row r="32" ht="30" customHeight="1">
      <c r="A32" s="3" t="inlineStr">
        <is>
          <t>Endschalter induktiv M8, LJ8A3-2-Z/BX (NPN, Schließer, 2 mm)</t>
        </is>
      </c>
      <c r="B32" s="4" t="inlineStr">
        <is>
          <t>Amazon</t>
        </is>
      </c>
      <c r="C32" s="4" t="n">
        <v>1</v>
      </c>
      <c r="D32" s="6" t="n">
        <v>6.89</v>
      </c>
      <c r="E32" s="6">
        <f>IF(AND(ISNUMBER(C32),ISNUMBER(D32)),C32*D32,0)</f>
        <v/>
      </c>
      <c r="F32" s="4" t="inlineStr">
        <is>
          <t>x</t>
        </is>
      </c>
      <c r="G32" s="4" t="inlineStr">
        <is>
          <t>https://www.amazon.de/Induktive-N%C3%A4herungsschalter-LJ8-A3-2-z-BX-Normalerweise/dp/B072Q68493/</t>
        </is>
      </c>
      <c r="H32" t="inlineStr">
        <is>
          <t>identifiziert</t>
        </is>
      </c>
    </row>
    <row r="33">
      <c r="A33" s="3" t="n"/>
      <c r="B33" s="4" t="n"/>
      <c r="C33" s="4" t="n"/>
      <c r="D33" s="4" t="n"/>
      <c r="E33" s="4" t="n"/>
      <c r="F33" s="4" t="n"/>
      <c r="G33" s="4" t="n"/>
    </row>
    <row r="34">
      <c r="A34" s="5" t="inlineStr">
        <is>
          <t>Y-Schlitten mit Z-Antrieb / Führung (je Probe)</t>
        </is>
      </c>
      <c r="B34" s="4" t="n"/>
      <c r="C34" s="4" t="n"/>
      <c r="D34" s="4" t="n"/>
      <c r="E34" s="4" t="n"/>
      <c r="F34" s="4" t="n"/>
      <c r="G34" s="4" t="n"/>
    </row>
    <row r="35">
      <c r="A35" s="3" t="inlineStr">
        <is>
          <t>Vollkunststoffgleitlager RJMP DryLin igus, D10</t>
        </is>
      </c>
      <c r="B35" s="4" t="inlineStr">
        <is>
          <t>DOLD</t>
        </is>
      </c>
      <c r="C35" s="4" t="n">
        <v>4</v>
      </c>
      <c r="D35" s="6" t="n">
        <v>4.2</v>
      </c>
      <c r="E35" s="6">
        <f>IF(AND(ISNUMBER(C35),ISNUMBER(D35)),C35*D35,0)</f>
        <v/>
      </c>
      <c r="F35" s="4" t="inlineStr">
        <is>
          <t>x</t>
        </is>
      </c>
      <c r="G35" s="4" t="inlineStr">
        <is>
          <t>https://www.dold-mechatronik.de/Vollkunststofflager-RJMP-01-10-DryLinZ-von-igusZ</t>
        </is>
      </c>
      <c r="H35" t="inlineStr">
        <is>
          <t>identifiziert</t>
        </is>
      </c>
    </row>
    <row r="36">
      <c r="A36" s="3" t="inlineStr">
        <is>
          <t>Sicherungsring Bohrung DIN 472, D22</t>
        </is>
      </c>
      <c r="B36" s="4" t="inlineStr">
        <is>
          <t>DOLD</t>
        </is>
      </c>
      <c r="C36" s="4" t="n">
        <v>4</v>
      </c>
      <c r="D36" s="6" t="n">
        <v>0.15</v>
      </c>
      <c r="E36" s="6">
        <f>IF(AND(ISNUMBER(C36),ISNUMBER(D36)),C36*D36,0)</f>
        <v/>
      </c>
      <c r="F36" s="4" t="inlineStr">
        <is>
          <t>x</t>
        </is>
      </c>
      <c r="G36" s="4" t="inlineStr">
        <is>
          <t>https://www.dold-mechatronik.de/DIN-472-Form-I-Sicherungsring-fuer-Bohrungen-Stahl-blank-I22</t>
        </is>
      </c>
      <c r="H36" t="inlineStr">
        <is>
          <t>identifiziert</t>
        </is>
      </c>
    </row>
    <row r="37" ht="105" customHeight="1">
      <c r="A37" s="3" t="inlineStr">
        <is>
          <t>Schrittmotor NEMA 14 – StepperOnline 14HS13-0804S</t>
        </is>
      </c>
      <c r="B37" s="4" t="inlineStr">
        <is>
          <t>StepperOnline</t>
        </is>
      </c>
      <c r="C37" s="4" t="n">
        <v>1</v>
      </c>
      <c r="D37" s="6" t="n">
        <v>7.72</v>
      </c>
      <c r="E37" s="6">
        <f>IF(AND(ISNUMBER(C37),ISNUMBER(D37)),C37*D37,0)</f>
        <v/>
      </c>
      <c r="F37" s="4" t="inlineStr">
        <is>
          <t>x</t>
        </is>
      </c>
      <c r="G37" s="4" t="inlineStr">
        <is>
          <t>https://www.omc-stepperonline.com/de/nema-14-bipolar-1-8deg-18ncm-25-5oz-in-0-8a-5-74v-35x35x34mm-4-draehte-14hs13-0804s</t>
        </is>
      </c>
      <c r="H37" t="inlineStr">
        <is>
          <t>identifiziert</t>
        </is>
      </c>
    </row>
    <row r="38" ht="30" customHeight="1">
      <c r="A38" s="3" t="inlineStr">
        <is>
          <t>Zahnriemenrad GT2 6mm, 16 Zähne, Bohrung 5 mm (X, Y, Z)</t>
        </is>
      </c>
      <c r="B38" s="4" t="inlineStr">
        <is>
          <t>DOLD</t>
        </is>
      </c>
      <c r="C38" s="4" t="n">
        <v>4</v>
      </c>
      <c r="D38" s="6" t="n">
        <v>2.9</v>
      </c>
      <c r="E38" s="6">
        <f>IF(AND(ISNUMBER(C38),ISNUMBER(D38)),C38*D38,0)</f>
        <v/>
      </c>
      <c r="F38" s="4" t="inlineStr">
        <is>
          <t>x</t>
        </is>
      </c>
      <c r="G38" s="4" t="inlineStr">
        <is>
          <t>https://www.dold-mechatronik.de/Zahnriemenrad-GT2-6mm-breit-16-Zaehne-Bohrung-500mm-H7-mit-Klemmschrauben</t>
        </is>
      </c>
      <c r="H38" t="inlineStr">
        <is>
          <t>identifiziert</t>
        </is>
      </c>
    </row>
    <row r="39" ht="45" customHeight="1">
      <c r="A39" s="3" t="inlineStr">
        <is>
          <t>Umlenkrolle GT2 6mm, 16 Zähne, mit Kugellager, Bohrung 3 mm (X, Y, Z)</t>
        </is>
      </c>
      <c r="B39" s="4" t="inlineStr">
        <is>
          <t>DOLD</t>
        </is>
      </c>
      <c r="C39" s="4" t="n">
        <v>4</v>
      </c>
      <c r="D39" s="6" t="n">
        <v>3.2</v>
      </c>
      <c r="E39" s="6">
        <f>IF(AND(ISNUMBER(C39),ISNUMBER(D39)),C39*D39,0)</f>
        <v/>
      </c>
      <c r="F39" s="4" t="inlineStr">
        <is>
          <t>x</t>
        </is>
      </c>
      <c r="G39" s="4" t="inlineStr">
        <is>
          <t>https://www.dold-mechatronik.de/Umlenkrolle-Zahnriemenrad-mit-Kugellager-GT2-6mm-breit-16-Zaehne-Bohrung-300mm</t>
        </is>
      </c>
      <c r="H39" t="inlineStr">
        <is>
          <t>identifiziert</t>
        </is>
      </c>
    </row>
    <row r="40" ht="45" customHeight="1">
      <c r="A40" s="3" t="inlineStr">
        <is>
          <t>Zahnriemen GT2, 6 mm breit, je 1 Meter (X, Y, Z)</t>
        </is>
      </c>
      <c r="B40" s="4" t="inlineStr">
        <is>
          <t>DOLD</t>
        </is>
      </c>
      <c r="C40" s="4" t="n">
        <v>5</v>
      </c>
      <c r="D40" s="6" t="n">
        <v>2.5</v>
      </c>
      <c r="E40" s="6">
        <f>IF(AND(ISNUMBER(C40),ISNUMBER(D40)),C40*D40,0)</f>
        <v/>
      </c>
      <c r="F40" s="4" t="inlineStr">
        <is>
          <t>x</t>
        </is>
      </c>
      <c r="G40" s="4" t="inlineStr">
        <is>
          <t>https://www.dold-mechatronik.de/Zahnriemen-GT2-Breite-6mm-Laenge-1-Meter</t>
        </is>
      </c>
      <c r="H40" t="inlineStr">
        <is>
          <t>identifiziert</t>
        </is>
      </c>
    </row>
    <row r="41">
      <c r="A41" s="3" t="inlineStr">
        <is>
          <t>Linearwagen MR12 MN-SS-V0-N</t>
        </is>
      </c>
      <c r="B41" s="4" t="inlineStr">
        <is>
          <t>Motedis</t>
        </is>
      </c>
      <c r="C41" s="4" t="n">
        <v>1</v>
      </c>
      <c r="D41" s="6" t="n">
        <v>18.6</v>
      </c>
      <c r="E41" s="6">
        <f>IF(AND(ISNUMBER(C41),ISNUMBER(D41)),C41*D41,0)</f>
        <v/>
      </c>
      <c r="F41" s="4" t="inlineStr">
        <is>
          <t>x</t>
        </is>
      </c>
      <c r="G41" s="4" t="inlineStr">
        <is>
          <t>https://www.motedis.com/shop/Dynamik-Lineareinheiten/Profilschienenfuehrungen-fuer-die-Linearbewegung/Profilschienenfuehrungen/Fuehrungswagen-Miniatur-MR12MN-SS-V0-N::6097.html</t>
        </is>
      </c>
      <c r="H41" t="inlineStr">
        <is>
          <t>identifiziert</t>
        </is>
      </c>
    </row>
    <row r="42">
      <c r="A42" s="3" t="inlineStr">
        <is>
          <t>6 Stück optische Endstops mit Kabel</t>
        </is>
      </c>
      <c r="B42" s="4" t="inlineStr">
        <is>
          <t>Amazon</t>
        </is>
      </c>
      <c r="C42" s="4" t="n">
        <v>1</v>
      </c>
      <c r="D42" s="6" t="n">
        <v>10.69</v>
      </c>
      <c r="E42" s="6">
        <f>IF(AND(ISNUMBER(C42),ISNUMBER(D42)),C42*D42,0)</f>
        <v/>
      </c>
      <c r="F42" s="4" t="inlineStr">
        <is>
          <t>x</t>
        </is>
      </c>
      <c r="G42" s="4" t="inlineStr">
        <is>
          <t>https://www.amazon.de/gp/product/B07PX8ZFXN/ref=ox_sc_act_title_2?smid=AS8JK4HNTE2NO&amp;psc=1</t>
        </is>
      </c>
      <c r="H42" t="inlineStr">
        <is>
          <t>identifiziert</t>
        </is>
      </c>
    </row>
    <row r="43" ht="90" customHeight="1">
      <c r="A43" s="3" t="inlineStr">
        <is>
          <t>USB-Mikroskop Toolcraft 2 MP, 20–200× (Ø33 × 110 mm)</t>
        </is>
      </c>
      <c r="B43" s="4" t="inlineStr">
        <is>
          <t>Voelkner</t>
        </is>
      </c>
      <c r="C43" s="4" t="n">
        <v>1</v>
      </c>
      <c r="D43" s="6" t="n">
        <v>57.41</v>
      </c>
      <c r="E43" s="6">
        <f>IF(AND(ISNUMBER(C43),ISNUMBER(D43)),C43*D43,0)</f>
        <v/>
      </c>
      <c r="F43" s="4" t="inlineStr">
        <is>
          <t>x</t>
        </is>
      </c>
      <c r="G43" s="4" t="inlineStr">
        <is>
          <t>https://www.voelkner.de/products/1177903/TOOLCRAFT-USB-Mikroskop-2-Megapixel-Digitale-Vergroesserung-max.-200-x.html</t>
        </is>
      </c>
      <c r="H43" t="inlineStr">
        <is>
          <t>identifiziert</t>
        </is>
      </c>
    </row>
    <row r="44">
      <c r="A44" s="3" t="n"/>
      <c r="B44" s="4" t="n"/>
      <c r="C44" s="4" t="n"/>
      <c r="D44" s="4" t="n"/>
      <c r="E44" s="4" t="n"/>
      <c r="F44" s="4" t="n"/>
      <c r="G44" s="4" t="n"/>
    </row>
    <row r="45">
      <c r="A45" s="5" t="inlineStr">
        <is>
          <t>Z-Schlitten (je Probe)</t>
        </is>
      </c>
      <c r="B45" s="4" t="n"/>
      <c r="C45" s="4" t="n"/>
      <c r="D45" s="4" t="n"/>
      <c r="E45" s="4" t="n"/>
      <c r="F45" s="4" t="n"/>
      <c r="G45" s="4" t="n"/>
    </row>
    <row r="46">
      <c r="A46" s="3" t="inlineStr">
        <is>
          <t>Profilschienenführung, MR12, 150mm, Edelstahl</t>
        </is>
      </c>
      <c r="B46" s="4" t="inlineStr">
        <is>
          <t>DOLD</t>
        </is>
      </c>
      <c r="C46" s="4" t="n">
        <v>1</v>
      </c>
      <c r="D46" s="6" t="n">
        <v>20.55</v>
      </c>
      <c r="E46" s="6">
        <f>IF(AND(ISNUMBER(C46),ISNUMBER(D46)),C46*D46,0)</f>
        <v/>
      </c>
      <c r="F46" s="4" t="inlineStr">
        <is>
          <t>x</t>
        </is>
      </c>
      <c r="G46" s="4" t="inlineStr">
        <is>
          <t>https://www.dold-mechatronik.de/Linearfuehrung-MR-12-M-Edelstahl-150mm</t>
        </is>
      </c>
      <c r="H46" t="inlineStr">
        <is>
          <t>identifiziert</t>
        </is>
      </c>
    </row>
    <row r="47">
      <c r="A47" s="3" t="inlineStr">
        <is>
          <t>Probespitze</t>
        </is>
      </c>
      <c r="B47" s="4" t="n"/>
      <c r="C47" s="4" t="n">
        <v>1</v>
      </c>
      <c r="D47" s="6" t="inlineStr">
        <is>
          <t>?</t>
        </is>
      </c>
      <c r="E47" s="6">
        <f>IF(AND(ISNUMBER(C47),ISNUMBER(D47)),C47*D47,0)</f>
        <v/>
      </c>
      <c r="F47" s="4" t="inlineStr">
        <is>
          <t>x</t>
        </is>
      </c>
      <c r="G47" s="7" t="n"/>
    </row>
    <row r="48">
      <c r="A48" s="3" t="n"/>
      <c r="B48" s="4" t="n"/>
      <c r="C48" s="4" t="n"/>
      <c r="D48" s="4" t="n"/>
      <c r="E48" s="4" t="n"/>
      <c r="F48" s="4" t="n"/>
      <c r="G48" s="4" t="n"/>
    </row>
    <row r="49">
      <c r="A49" s="5" t="inlineStr">
        <is>
          <t>Elektronik</t>
        </is>
      </c>
      <c r="B49" s="4" t="n"/>
      <c r="C49" s="4" t="n"/>
      <c r="D49" s="4" t="n"/>
      <c r="E49" s="4" t="n"/>
      <c r="F49" s="4" t="n"/>
      <c r="G49" s="4" t="n"/>
    </row>
    <row r="50" ht="90" customHeight="1">
      <c r="A50" s="3" t="inlineStr">
        <is>
          <t>BIGTREETECH SKR V1.4 Turbo Mainboard (ohne Schrittmotortreiber)</t>
        </is>
      </c>
      <c r="B50" s="4" t="inlineStr">
        <is>
          <t>Roboter-Bausatz</t>
        </is>
      </c>
      <c r="C50" s="4" t="n">
        <v>1</v>
      </c>
      <c r="D50" s="6" t="n">
        <v>49.95</v>
      </c>
      <c r="E50" s="6">
        <f>IF(AND(ISNUMBER(C50),ISNUMBER(D50)),C50*D50,0)</f>
        <v/>
      </c>
      <c r="F50" s="4" t="inlineStr">
        <is>
          <t>x</t>
        </is>
      </c>
      <c r="G50" s="4" t="inlineStr">
        <is>
          <t>https://www.roboter-bausatz.de/p/btt-skr-1.4-turbo-32-bit-mainboard</t>
        </is>
      </c>
      <c r="H50" t="inlineStr">
        <is>
          <t>identifiziert</t>
        </is>
      </c>
    </row>
    <row r="51" ht="90" customHeight="1">
      <c r="A51" s="3" t="inlineStr">
        <is>
          <t>BTT TMC2130 V3.0 SPI Schrittmotortreiber</t>
        </is>
      </c>
      <c r="B51" s="4" t="inlineStr">
        <is>
          <t>Roboter-Bausatz</t>
        </is>
      </c>
      <c r="C51" s="4" t="n">
        <v>4</v>
      </c>
      <c r="D51" s="6" t="n">
        <v>13.65</v>
      </c>
      <c r="E51" s="6">
        <f>IF(AND(ISNUMBER(C51),ISNUMBER(D51)),C51*D51,0)</f>
        <v/>
      </c>
      <c r="F51" s="4" t="inlineStr">
        <is>
          <t>x</t>
        </is>
      </c>
      <c r="G51" s="4" t="inlineStr">
        <is>
          <t>https://www.roboter-bausatz.de/p/btt-tmc2130-v3.0-spi-schrittmotortreiber</t>
        </is>
      </c>
      <c r="H51" t="inlineStr">
        <is>
          <t>identifiziert</t>
        </is>
      </c>
    </row>
    <row r="52" ht="120" customHeight="1">
      <c r="A52" s="3" t="inlineStr">
        <is>
          <t>Schaltnetzteil Mean Well SDR-240-24, Hutschiene, 24 V / 10 A / 240 W</t>
        </is>
      </c>
      <c r="B52" s="4" t="inlineStr">
        <is>
          <t>DOLD</t>
        </is>
      </c>
      <c r="C52" s="4" t="n">
        <v>1</v>
      </c>
      <c r="D52" s="6" t="n">
        <v>84.79000000000001</v>
      </c>
      <c r="E52" s="6">
        <f>IF(AND(ISNUMBER(C52),ISNUMBER(D52)),C52*D52,0)</f>
        <v/>
      </c>
      <c r="F52" s="4" t="n"/>
      <c r="G52" s="4" t="inlineStr">
        <is>
          <t>https://www.dold-mechatronik.de/Switching-power-supply-DIN-rail-240-W-24-V-10-A</t>
        </is>
      </c>
      <c r="H52" t="inlineStr">
        <is>
          <t>identifiziert</t>
        </is>
      </c>
    </row>
    <row r="53">
      <c r="A53" s="3" t="inlineStr">
        <is>
          <t>Schukokabel</t>
        </is>
      </c>
      <c r="B53" s="4" t="n"/>
      <c r="C53" s="7" t="n"/>
      <c r="D53" s="6" t="n"/>
      <c r="E53" s="6">
        <f>IF(AND(ISNUMBER(C53),ISNUMBER(D53)),C53*D53,0)</f>
        <v/>
      </c>
      <c r="F53" s="4" t="inlineStr">
        <is>
          <t>x</t>
        </is>
      </c>
      <c r="G53" s="7" t="n"/>
    </row>
    <row r="54">
      <c r="A54" s="3" t="inlineStr">
        <is>
          <t>Kabel Probe</t>
        </is>
      </c>
      <c r="B54" s="4" t="n"/>
      <c r="C54" s="7" t="n"/>
      <c r="D54" s="6" t="n"/>
      <c r="E54" s="6">
        <f>IF(AND(ISNUMBER(C54),ISNUMBER(D54)),C54*D54,0)</f>
        <v/>
      </c>
      <c r="F54" s="4" t="inlineStr">
        <is>
          <t>x</t>
        </is>
      </c>
      <c r="G54" s="7" t="n"/>
    </row>
    <row r="55">
      <c r="A55" s="3" t="inlineStr">
        <is>
          <t>Gehäuse für Elektronik</t>
        </is>
      </c>
      <c r="B55" s="4" t="n"/>
      <c r="C55" s="7" t="n"/>
      <c r="D55" s="6" t="n"/>
      <c r="E55" s="6">
        <f>IF(AND(ISNUMBER(C55),ISNUMBER(D55)),C55*D55,0)</f>
        <v/>
      </c>
      <c r="F55" s="4" t="n"/>
      <c r="G55" s="7" t="n"/>
    </row>
    <row r="56" ht="30" customHeight="1">
      <c r="A56" s="3" t="inlineStr">
        <is>
          <t>Energiekette igus E2i.10.20.028.0 (X), 14 Glieder = 0,28 m, inkl. Anschlussset E2.100.20.34PZ.A2</t>
        </is>
      </c>
      <c r="B56" s="4" t="inlineStr">
        <is>
          <t>igus</t>
        </is>
      </c>
      <c r="C56" s="4" t="n">
        <v>2</v>
      </c>
      <c r="D56" s="6">
        <f>(14*0.49+6.48)*1.19</f>
        <v/>
      </c>
      <c r="E56" s="6">
        <f>IF(AND(ISNUMBER(C56),ISNUMBER(D56)),C56*D56,0)</f>
        <v/>
      </c>
      <c r="F56" s="4" t="inlineStr">
        <is>
          <t>x</t>
        </is>
      </c>
      <c r="G56" s="4" t="inlineStr">
        <is>
          <t>https://www.igus.de/product/series-E2i-10?artnr=E2I.10.20.028.0</t>
        </is>
      </c>
      <c r="H56" t="inlineStr">
        <is>
          <t>identifiziert</t>
        </is>
      </c>
    </row>
    <row r="57" ht="45" customHeight="1">
      <c r="A57" s="3" t="inlineStr">
        <is>
          <t>Energiekette igus E2i.10.10.028.0 (Y), 12 Glieder = 0,24 m, inkl. Anschlussset E2.100.10.34PZ.A2</t>
        </is>
      </c>
      <c r="B57" s="4" t="inlineStr">
        <is>
          <t>igus</t>
        </is>
      </c>
      <c r="C57" s="4" t="n">
        <v>2</v>
      </c>
      <c r="D57" s="6">
        <f>(12*0.47+6.2)*1.19</f>
        <v/>
      </c>
      <c r="E57" s="6">
        <f>IF(AND(ISNUMBER(C57),ISNUMBER(D57)),C57*D57,0)</f>
        <v/>
      </c>
      <c r="F57" s="4" t="inlineStr">
        <is>
          <t>x</t>
        </is>
      </c>
      <c r="G57" s="4" t="inlineStr">
        <is>
          <t>https://www.igus.de/product/series-E2i-10?artnr=E2i.10.10.028.0</t>
        </is>
      </c>
      <c r="H57" t="inlineStr">
        <is>
          <t>identifiziert</t>
        </is>
      </c>
    </row>
    <row r="58">
      <c r="A58" s="3" t="inlineStr">
        <is>
          <t>Kabel für Endschalter</t>
        </is>
      </c>
      <c r="B58" s="4" t="n"/>
      <c r="C58" s="7" t="n"/>
      <c r="D58" s="6" t="n"/>
      <c r="E58" s="6">
        <f>IF(AND(ISNUMBER(C58),ISNUMBER(D58)),C58*D58,0)</f>
        <v/>
      </c>
      <c r="F58" s="4" t="inlineStr">
        <is>
          <t>x</t>
        </is>
      </c>
      <c r="G58" s="7" t="n"/>
    </row>
    <row r="59">
      <c r="A59" s="3" t="inlineStr">
        <is>
          <t>Motorkabel</t>
        </is>
      </c>
      <c r="B59" s="4" t="n"/>
      <c r="C59" s="7" t="n"/>
      <c r="D59" s="6" t="n"/>
      <c r="E59" s="6">
        <f>IF(AND(ISNUMBER(C59),ISNUMBER(D59)),C59*D59,0)</f>
        <v/>
      </c>
      <c r="F59" s="4" t="inlineStr">
        <is>
          <t>x</t>
        </is>
      </c>
      <c r="G59" s="7" t="n"/>
    </row>
    <row r="60">
      <c r="A60" s="3" t="inlineStr">
        <is>
          <t>USB-Hub</t>
        </is>
      </c>
      <c r="B60" s="4" t="inlineStr">
        <is>
          <t>Amazon</t>
        </is>
      </c>
      <c r="C60" s="4" t="n">
        <v>1</v>
      </c>
      <c r="D60" s="6" t="n">
        <v>9.99</v>
      </c>
      <c r="E60" s="6">
        <f>IF(AND(ISNUMBER(C60),ISNUMBER(D60)),C60*D60,0)</f>
        <v/>
      </c>
      <c r="F60" s="4" t="n"/>
      <c r="G60" s="4" t="inlineStr">
        <is>
          <t>https://www.amazon.de/Anker-Datenhub-Ultrabooks-weiteren-kompatiblen/dp/B00Y211AFM/</t>
        </is>
      </c>
      <c r="H60" t="inlineStr">
        <is>
          <t>identifiziert</t>
        </is>
      </c>
    </row>
    <row r="61">
      <c r="A61" s="3" t="n"/>
      <c r="B61" s="4" t="n"/>
      <c r="C61" s="4" t="n"/>
      <c r="D61" s="4" t="n"/>
      <c r="E61" s="4" t="n"/>
      <c r="F61" s="4" t="n"/>
      <c r="G61" s="4" t="n"/>
    </row>
    <row r="62">
      <c r="A62" s="5" t="inlineStr">
        <is>
          <t>Schrauben, Muttern &amp; Kleinteile (Menge für Vollausbau)</t>
        </is>
      </c>
      <c r="B62" s="4" t="n"/>
      <c r="C62" s="4" t="n"/>
      <c r="D62" s="4" t="n"/>
      <c r="E62" s="4" t="n"/>
      <c r="F62" s="4" t="n"/>
      <c r="G62" s="4" t="n"/>
    </row>
    <row r="63">
      <c r="A63" s="3" t="inlineStr">
        <is>
          <t>DIN 912 (ISO 4762) Zylinderschraube M3x8, A2</t>
        </is>
      </c>
      <c r="B63" s="4" t="inlineStr">
        <is>
          <t>DOLD</t>
        </is>
      </c>
      <c r="C63" s="4" t="n">
        <v>58</v>
      </c>
      <c r="D63" s="6" t="n"/>
      <c r="E63" s="6">
        <f>IF(AND(ISNUMBER(C63),ISNUMBER(D63)),C63*D63,0)</f>
        <v/>
      </c>
      <c r="F63" s="4" t="n"/>
      <c r="G63" s="4" t="inlineStr">
        <is>
          <t>https://www.dold-mechatronik.de/DIN-912-Zylinderschraube-mit-Innensechskant,-Edelstahl-A2</t>
        </is>
      </c>
      <c r="H63" t="inlineStr">
        <is>
          <t>identifiziert</t>
        </is>
      </c>
    </row>
    <row r="64">
      <c r="A64" s="3" t="inlineStr">
        <is>
          <t>DIN 912 (ISO 4762) Zylinderschraube M3x10, A2</t>
        </is>
      </c>
      <c r="B64" s="4" t="inlineStr">
        <is>
          <t>DOLD</t>
        </is>
      </c>
      <c r="C64" s="4" t="n">
        <v>66</v>
      </c>
      <c r="D64" s="6" t="n"/>
      <c r="E64" s="6">
        <f>IF(AND(ISNUMBER(C64),ISNUMBER(D64)),C64*D64,0)</f>
        <v/>
      </c>
      <c r="F64" s="4" t="n"/>
      <c r="G64" s="4" t="inlineStr">
        <is>
          <t>https://www.dold-mechatronik.de/DIN-912-Zylinderschraube-mit-Innensechskant,-Edelstahl-A2</t>
        </is>
      </c>
      <c r="H64" t="inlineStr">
        <is>
          <t>identifiziert</t>
        </is>
      </c>
    </row>
    <row r="65">
      <c r="A65" s="3" t="inlineStr">
        <is>
          <t>DIN 912 (ISO 4762) Zylinderschraube M3x12, A2</t>
        </is>
      </c>
      <c r="B65" s="4" t="inlineStr">
        <is>
          <t>DOLD</t>
        </is>
      </c>
      <c r="C65" s="4" t="n">
        <v>10</v>
      </c>
      <c r="D65" s="6" t="n"/>
      <c r="E65" s="6">
        <f>IF(AND(ISNUMBER(C65),ISNUMBER(D65)),C65*D65,0)</f>
        <v/>
      </c>
      <c r="F65" s="4" t="n"/>
      <c r="G65" s="4" t="inlineStr">
        <is>
          <t>https://www.dold-mechatronik.de/DIN-912-Zylinderschraube-mit-Innensechskant,-Edelstahl-A2</t>
        </is>
      </c>
      <c r="H65" t="inlineStr">
        <is>
          <t>identifiziert</t>
        </is>
      </c>
    </row>
    <row r="66">
      <c r="A66" s="3" t="inlineStr">
        <is>
          <t>DIN 912 (ISO 4762) Zylinderschraube M3x14, A2</t>
        </is>
      </c>
      <c r="B66" s="4" t="inlineStr">
        <is>
          <t>DOLD</t>
        </is>
      </c>
      <c r="C66" s="4" t="n">
        <v>6</v>
      </c>
      <c r="D66" s="6" t="n"/>
      <c r="E66" s="6">
        <f>IF(AND(ISNUMBER(C66),ISNUMBER(D66)),C66*D66,0)</f>
        <v/>
      </c>
      <c r="F66" s="4" t="n"/>
      <c r="G66" s="4" t="inlineStr">
        <is>
          <t>https://www.dold-mechatronik.de/DIN-912-Zylinderschraube-mit-Innensechskant,-Edelstahl-A2</t>
        </is>
      </c>
      <c r="H66" t="inlineStr">
        <is>
          <t>identifiziert</t>
        </is>
      </c>
    </row>
    <row r="67">
      <c r="A67" s="3" t="inlineStr">
        <is>
          <t>DIN 912 (ISO 4762) Zylinderschraube M3x16, A2</t>
        </is>
      </c>
      <c r="B67" s="4" t="inlineStr">
        <is>
          <t>DOLD</t>
        </is>
      </c>
      <c r="C67" s="4" t="n">
        <v>22</v>
      </c>
      <c r="D67" s="6" t="n"/>
      <c r="E67" s="6">
        <f>IF(AND(ISNUMBER(C67),ISNUMBER(D67)),C67*D67,0)</f>
        <v/>
      </c>
      <c r="F67" s="4" t="n"/>
      <c r="G67" s="4" t="inlineStr">
        <is>
          <t>https://www.dold-mechatronik.de/DIN-912-Zylinderschraube-mit-Innensechskant,-Edelstahl-A2</t>
        </is>
      </c>
      <c r="H67" t="inlineStr">
        <is>
          <t>identifiziert</t>
        </is>
      </c>
    </row>
    <row r="68">
      <c r="A68" s="3" t="inlineStr">
        <is>
          <t>DIN 912 (ISO 4762) Zylinderschraube M3x18, A2</t>
        </is>
      </c>
      <c r="B68" s="4" t="inlineStr">
        <is>
          <t>DOLD</t>
        </is>
      </c>
      <c r="C68" s="4" t="n">
        <v>36</v>
      </c>
      <c r="D68" s="6" t="n"/>
      <c r="E68" s="6">
        <f>IF(AND(ISNUMBER(C68),ISNUMBER(D68)),C68*D68,0)</f>
        <v/>
      </c>
      <c r="F68" s="4" t="n"/>
      <c r="G68" s="4" t="inlineStr">
        <is>
          <t>https://www.dold-mechatronik.de/DIN-912-Zylinderschraube-mit-Innensechskant,-Edelstahl-A2</t>
        </is>
      </c>
      <c r="H68" t="inlineStr">
        <is>
          <t>identifiziert</t>
        </is>
      </c>
    </row>
    <row r="69">
      <c r="A69" s="3" t="inlineStr">
        <is>
          <t>DIN 912 (ISO 4762) Zylinderschraube M3x20, A2</t>
        </is>
      </c>
      <c r="B69" s="4" t="inlineStr">
        <is>
          <t>DOLD</t>
        </is>
      </c>
      <c r="C69" s="4" t="n">
        <v>6</v>
      </c>
      <c r="D69" s="6" t="n"/>
      <c r="E69" s="6">
        <f>IF(AND(ISNUMBER(C69),ISNUMBER(D69)),C69*D69,0)</f>
        <v/>
      </c>
      <c r="F69" s="4" t="n"/>
      <c r="G69" s="4" t="inlineStr">
        <is>
          <t>https://www.dold-mechatronik.de/DIN-912-Zylinderschraube-mit-Innensechskant,-Edelstahl-A2</t>
        </is>
      </c>
      <c r="H69" t="inlineStr">
        <is>
          <t>identifiziert</t>
        </is>
      </c>
    </row>
    <row r="70">
      <c r="A70" s="3" t="inlineStr">
        <is>
          <t>DIN 912 (ISO 4762) Zylinderschraube M3x30, A2</t>
        </is>
      </c>
      <c r="B70" s="4" t="inlineStr">
        <is>
          <t>DOLD</t>
        </is>
      </c>
      <c r="C70" s="4" t="n">
        <v>10</v>
      </c>
      <c r="D70" s="6" t="n"/>
      <c r="E70" s="6">
        <f>IF(AND(ISNUMBER(C70),ISNUMBER(D70)),C70*D70,0)</f>
        <v/>
      </c>
      <c r="F70" s="4" t="n"/>
      <c r="G70" s="4" t="inlineStr">
        <is>
          <t>https://www.dold-mechatronik.de/DIN-912-Zylinderschraube-mit-Innensechskant,-Edelstahl-A2</t>
        </is>
      </c>
      <c r="H70" t="inlineStr">
        <is>
          <t>identifiziert</t>
        </is>
      </c>
    </row>
    <row r="71">
      <c r="A71" s="3" t="inlineStr">
        <is>
          <t>DIN 912 (ISO 4762) Zylinderschraube M4x10, A2</t>
        </is>
      </c>
      <c r="B71" s="4" t="inlineStr">
        <is>
          <t>DOLD</t>
        </is>
      </c>
      <c r="C71" s="4" t="n">
        <v>3</v>
      </c>
      <c r="D71" s="6" t="n"/>
      <c r="E71" s="6">
        <f>IF(AND(ISNUMBER(C71),ISNUMBER(D71)),C71*D71,0)</f>
        <v/>
      </c>
      <c r="F71" s="4" t="n"/>
      <c r="G71" s="4" t="inlineStr">
        <is>
          <t>https://www.dold-mechatronik.de/DIN-912-Zylinderschraube-mit-Innensechskant,-Edelstahl-A2</t>
        </is>
      </c>
      <c r="H71" t="inlineStr">
        <is>
          <t>identifiziert</t>
        </is>
      </c>
    </row>
    <row r="72">
      <c r="A72" s="3" t="inlineStr">
        <is>
          <t>DIN 912 (ISO 4762) Zylinderschraube M4x20, A2</t>
        </is>
      </c>
      <c r="B72" s="4" t="inlineStr">
        <is>
          <t>DOLD</t>
        </is>
      </c>
      <c r="C72" s="4" t="n">
        <v>14</v>
      </c>
      <c r="D72" s="6" t="n"/>
      <c r="E72" s="6">
        <f>IF(AND(ISNUMBER(C72),ISNUMBER(D72)),C72*D72,0)</f>
        <v/>
      </c>
      <c r="F72" s="4" t="n"/>
      <c r="G72" s="4" t="inlineStr">
        <is>
          <t>https://www.dold-mechatronik.de/DIN-912-Zylinderschraube-mit-Innensechskant,-Edelstahl-A2</t>
        </is>
      </c>
      <c r="H72" t="inlineStr">
        <is>
          <t>identifiziert</t>
        </is>
      </c>
    </row>
    <row r="73">
      <c r="A73" s="3" t="inlineStr">
        <is>
          <t>DIN 912 (ISO 4762) Zylinderschraube M4x30, A2</t>
        </is>
      </c>
      <c r="B73" s="4" t="inlineStr">
        <is>
          <t>DOLD</t>
        </is>
      </c>
      <c r="C73" s="4" t="n">
        <v>31</v>
      </c>
      <c r="D73" s="6" t="n"/>
      <c r="E73" s="6">
        <f>IF(AND(ISNUMBER(C73),ISNUMBER(D73)),C73*D73,0)</f>
        <v/>
      </c>
      <c r="F73" s="4" t="n"/>
      <c r="G73" s="4" t="inlineStr">
        <is>
          <t>https://www.dold-mechatronik.de/DIN-912-Zylinderschraube-mit-Innensechskant,-Edelstahl-A2</t>
        </is>
      </c>
      <c r="H73" t="inlineStr">
        <is>
          <t>identifiziert</t>
        </is>
      </c>
    </row>
    <row r="74">
      <c r="A74" s="3" t="inlineStr">
        <is>
          <t>DIN 912 (ISO 4762) Zylinderschraube M5x10, A2</t>
        </is>
      </c>
      <c r="B74" s="4" t="inlineStr">
        <is>
          <t>DOLD</t>
        </is>
      </c>
      <c r="C74" s="4" t="n">
        <v>36</v>
      </c>
      <c r="D74" s="6" t="n"/>
      <c r="E74" s="6">
        <f>IF(AND(ISNUMBER(C74),ISNUMBER(D74)),C74*D74,0)</f>
        <v/>
      </c>
      <c r="F74" s="4" t="n"/>
      <c r="G74" s="4" t="inlineStr">
        <is>
          <t>https://www.dold-mechatronik.de/DIN-912-Zylinderschraube-mit-Innensechskant,-Edelstahl-A2</t>
        </is>
      </c>
      <c r="H74" t="inlineStr">
        <is>
          <t>identifiziert</t>
        </is>
      </c>
    </row>
    <row r="75">
      <c r="A75" s="3" t="inlineStr">
        <is>
          <t>DIN 912 (ISO 4762) Zylinderschraube M5x14, 8.8 verzinkt</t>
        </is>
      </c>
      <c r="B75" s="4" t="inlineStr">
        <is>
          <t>DOLD</t>
        </is>
      </c>
      <c r="C75" s="4" t="n">
        <v>6</v>
      </c>
      <c r="D75" s="6" t="n"/>
      <c r="E75" s="6">
        <f>IF(AND(ISNUMBER(C75),ISNUMBER(D75)),C75*D75,0)</f>
        <v/>
      </c>
      <c r="F75" s="4" t="n"/>
      <c r="G75" s="4" t="inlineStr">
        <is>
          <t>https://www.dold-mechatronik.de/DIN-912-Zylinderschraube-mit-Innensechskant-8.8-verzinkt</t>
        </is>
      </c>
      <c r="H75" t="inlineStr">
        <is>
          <t>identifiziert</t>
        </is>
      </c>
    </row>
    <row r="76">
      <c r="A76" s="3" t="inlineStr">
        <is>
          <t>DIN 7991 (ISO 10642) Senkschraube M3x8, A2</t>
        </is>
      </c>
      <c r="B76" s="4" t="inlineStr">
        <is>
          <t>DOLD</t>
        </is>
      </c>
      <c r="C76" s="4" t="n">
        <v>36</v>
      </c>
      <c r="D76" s="6" t="n"/>
      <c r="E76" s="6">
        <f>IF(AND(ISNUMBER(C76),ISNUMBER(D76)),C76*D76,0)</f>
        <v/>
      </c>
      <c r="F76" s="4" t="n"/>
      <c r="G76" s="4" t="inlineStr">
        <is>
          <t>https://www.dold-mechatronik.de/DIN-7991-Senkschraube-mit-Innensechskant,-Edelstahl-A2</t>
        </is>
      </c>
      <c r="H76" t="inlineStr">
        <is>
          <t>identifiziert</t>
        </is>
      </c>
    </row>
    <row r="77">
      <c r="A77" s="3" t="inlineStr">
        <is>
          <t>DIN 7991 (ISO 10642) Senkschraube M6x12, A2</t>
        </is>
      </c>
      <c r="B77" s="4" t="inlineStr">
        <is>
          <t>DOLD</t>
        </is>
      </c>
      <c r="C77" s="4" t="n">
        <v>18</v>
      </c>
      <c r="D77" s="6" t="n"/>
      <c r="E77" s="6">
        <f>IF(AND(ISNUMBER(C77),ISNUMBER(D77)),C77*D77,0)</f>
        <v/>
      </c>
      <c r="F77" s="4" t="n"/>
      <c r="G77" s="4" t="inlineStr">
        <is>
          <t>https://www.dold-mechatronik.de/DIN-7991-Senkschraube-mit-Innensechskant,-Edelstahl-A2</t>
        </is>
      </c>
      <c r="H77" t="inlineStr">
        <is>
          <t>identifiziert</t>
        </is>
      </c>
    </row>
    <row r="78">
      <c r="A78" s="3" t="inlineStr">
        <is>
          <t>DIN 7991 (ISO 10642) Senkschraube M6x14, A2</t>
        </is>
      </c>
      <c r="B78" s="4" t="inlineStr">
        <is>
          <t>DOLD</t>
        </is>
      </c>
      <c r="C78" s="4" t="n">
        <v>8</v>
      </c>
      <c r="D78" s="6" t="n"/>
      <c r="E78" s="6">
        <f>IF(AND(ISNUMBER(C78),ISNUMBER(D78)),C78*D78,0)</f>
        <v/>
      </c>
      <c r="F78" s="4" t="n"/>
      <c r="G78" s="4" t="inlineStr">
        <is>
          <t>https://www.dold-mechatronik.de/DIN-7991-Senkschraube-mit-Innensechskant,-Edelstahl-A2</t>
        </is>
      </c>
      <c r="H78" t="inlineStr">
        <is>
          <t>identifiziert</t>
        </is>
      </c>
    </row>
    <row r="79">
      <c r="A79" s="3" t="inlineStr">
        <is>
          <t>DIN 7991 (ISO 10642) Senkschraube M6x20, A2</t>
        </is>
      </c>
      <c r="B79" s="4" t="inlineStr">
        <is>
          <t>DOLD</t>
        </is>
      </c>
      <c r="C79" s="4" t="n">
        <v>25</v>
      </c>
      <c r="D79" s="6" t="n"/>
      <c r="E79" s="6">
        <f>IF(AND(ISNUMBER(C79),ISNUMBER(D79)),C79*D79,0)</f>
        <v/>
      </c>
      <c r="F79" s="4" t="n"/>
      <c r="G79" s="4" t="inlineStr">
        <is>
          <t>https://www.dold-mechatronik.de/DIN-7991-Senkschraube-mit-Innensechskant,-Edelstahl-A2</t>
        </is>
      </c>
      <c r="H79" t="inlineStr">
        <is>
          <t>identifiziert</t>
        </is>
      </c>
    </row>
    <row r="80">
      <c r="A80" s="3" t="inlineStr">
        <is>
          <t>DIN 933 (ISO 4017) Sechskantschraube M4x20, A2</t>
        </is>
      </c>
      <c r="B80" s="4" t="inlineStr">
        <is>
          <t>DOLD</t>
        </is>
      </c>
      <c r="C80" s="4" t="n">
        <v>10</v>
      </c>
      <c r="D80" s="6" t="n"/>
      <c r="E80" s="6">
        <f>IF(AND(ISNUMBER(C80),ISNUMBER(D80)),C80*D80,0)</f>
        <v/>
      </c>
      <c r="F80" s="4" t="n"/>
      <c r="G80" s="4" t="inlineStr">
        <is>
          <t>https://www.dold-mechatronik.de/DIN-933-A2-Edelstahl-Sechskantschraube-mit-Gewinde-bis-Kopf.-Ausfuehrung-waehlbar</t>
        </is>
      </c>
      <c r="H80" t="inlineStr">
        <is>
          <t>identifiziert</t>
        </is>
      </c>
    </row>
    <row r="81">
      <c r="A81" s="3" t="inlineStr">
        <is>
          <t>DIN 934 (ISO 4032) Sechskantmutter M3, verzinkt</t>
        </is>
      </c>
      <c r="B81" s="4" t="inlineStr">
        <is>
          <t>DOLD</t>
        </is>
      </c>
      <c r="C81" s="4" t="n">
        <v>40</v>
      </c>
      <c r="D81" s="6" t="n">
        <v>0.14</v>
      </c>
      <c r="E81" s="6">
        <f>IF(AND(ISNUMBER(C81),ISNUMBER(D81)),C81*D81,0)</f>
        <v/>
      </c>
      <c r="F81" s="4" t="n"/>
      <c r="G81" s="4" t="inlineStr">
        <is>
          <t>https://www.dold-mechatronik.de/DIN-934-Sechskantmutter-.8-verzinkt-M4x07</t>
        </is>
      </c>
      <c r="H81" t="inlineStr">
        <is>
          <t>identifiziert</t>
        </is>
      </c>
    </row>
    <row r="82">
      <c r="A82" s="3" t="inlineStr">
        <is>
          <t>DIN 934 (ISO 4032) Sechskantmutter M4, verzinkt</t>
        </is>
      </c>
      <c r="B82" s="4" t="inlineStr">
        <is>
          <t>DOLD</t>
        </is>
      </c>
      <c r="C82" s="4" t="n">
        <v>53</v>
      </c>
      <c r="D82" s="6" t="n">
        <v>0.14</v>
      </c>
      <c r="E82" s="6">
        <f>IF(AND(ISNUMBER(C82),ISNUMBER(D82)),C82*D82,0)</f>
        <v/>
      </c>
      <c r="F82" s="4" t="n"/>
      <c r="G82" s="4" t="inlineStr">
        <is>
          <t>https://www.dold-mechatronik.de/DIN-934-Sechskantmutter-.8-verzinkt-M4x07</t>
        </is>
      </c>
      <c r="H82" t="inlineStr">
        <is>
          <t>identifiziert</t>
        </is>
      </c>
    </row>
    <row r="83">
      <c r="A83" s="3" t="inlineStr">
        <is>
          <t>DIN 934 (ISO 4032) Sechskantmutter M8, A2</t>
        </is>
      </c>
      <c r="B83" s="4" t="inlineStr">
        <is>
          <t>DOLD</t>
        </is>
      </c>
      <c r="C83" s="4" t="n">
        <v>53</v>
      </c>
      <c r="D83" s="6" t="n">
        <v>0.53</v>
      </c>
      <c r="E83" s="6">
        <f>IF(AND(ISNUMBER(C83),ISNUMBER(D83)),C83*D83,0)</f>
        <v/>
      </c>
      <c r="F83" s="4" t="n"/>
      <c r="G83" s="4" t="inlineStr">
        <is>
          <t>https://www.dold-mechatronik.de/Sechskantmutter-DIN-934-ISO-4032-M8-Edelstahl-A2</t>
        </is>
      </c>
      <c r="H83" t="inlineStr">
        <is>
          <t>identifiziert</t>
        </is>
      </c>
    </row>
    <row r="84">
      <c r="A84" s="3" t="inlineStr">
        <is>
          <t>DIN 466 Rändelmutter hoch M4</t>
        </is>
      </c>
      <c r="B84" s="4" t="inlineStr">
        <is>
          <t>DOLD</t>
        </is>
      </c>
      <c r="C84" s="4" t="n">
        <v>10</v>
      </c>
      <c r="D84" s="6" t="n"/>
      <c r="E84" s="6">
        <f>IF(AND(ISNUMBER(C84),ISNUMBER(D84)),C84*D84,0)</f>
        <v/>
      </c>
      <c r="F84" s="4" t="n"/>
      <c r="G84" s="4" t="inlineStr">
        <is>
          <t>https://www.dold-mechatronik.de/Hohe-Raendelmutter-Material-und-Groesse-waehlbar-NEU</t>
        </is>
      </c>
      <c r="H84" t="inlineStr">
        <is>
          <t>identifiziert</t>
        </is>
      </c>
    </row>
    <row r="85" ht="30" customHeight="1">
      <c r="A85" s="3" t="inlineStr">
        <is>
          <t>DIN 562 Vierkantmutter flach M3</t>
        </is>
      </c>
      <c r="B85" s="4" t="n"/>
      <c r="C85" s="4" t="n">
        <v>10</v>
      </c>
      <c r="D85" s="6" t="n"/>
      <c r="E85" s="6">
        <f>IF(AND(ISNUMBER(C85),ISNUMBER(D85)),C85*D85,0)</f>
        <v/>
      </c>
      <c r="F85" s="4" t="n"/>
      <c r="G85" s="7" t="n"/>
    </row>
    <row r="86" ht="30" customHeight="1">
      <c r="A86" s="3" t="inlineStr">
        <is>
          <t>DIN 562 Vierkantmutter flach M4</t>
        </is>
      </c>
      <c r="B86" s="4" t="n"/>
      <c r="C86" s="4" t="n">
        <v>14</v>
      </c>
      <c r="D86" s="6" t="n"/>
      <c r="E86" s="6">
        <f>IF(AND(ISNUMBER(C86),ISNUMBER(D86)),C86*D86,0)</f>
        <v/>
      </c>
      <c r="F86" s="4" t="n"/>
      <c r="G86" s="7" t="n"/>
    </row>
    <row r="87" ht="30" customHeight="1">
      <c r="A87" s="3" t="inlineStr">
        <is>
          <t>Nutenstein Nut6, M5</t>
        </is>
      </c>
      <c r="B87" s="4" t="inlineStr">
        <is>
          <t>DOLD</t>
        </is>
      </c>
      <c r="C87" s="4" t="n">
        <v>10</v>
      </c>
      <c r="D87" s="6" t="n">
        <v>0.39</v>
      </c>
      <c r="E87" s="6">
        <f>IF(AND(ISNUMBER(C87),ISNUMBER(D87)),C87*D87,0)</f>
        <v/>
      </c>
      <c r="F87" s="4" t="n"/>
      <c r="G87" s="4" t="inlineStr">
        <is>
          <t>https://www.dold-mechatronik.de/Nutenstein-mit-Steg-I-Typ-Nut-6-Gewindedurchmesser-M5</t>
        </is>
      </c>
      <c r="H87" t="inlineStr">
        <is>
          <t>identifiziert</t>
        </is>
      </c>
    </row>
    <row r="88" ht="30" customHeight="1">
      <c r="A88" s="3" t="inlineStr">
        <is>
          <t>Nutenstein Nut6, M3</t>
        </is>
      </c>
      <c r="B88" s="4" t="inlineStr">
        <is>
          <t>DOLD</t>
        </is>
      </c>
      <c r="C88" s="4" t="n">
        <v>46</v>
      </c>
      <c r="D88" s="6" t="n">
        <v>0.39</v>
      </c>
      <c r="E88" s="6">
        <f>IF(AND(ISNUMBER(C88),ISNUMBER(D88)),C88*D88,0)</f>
        <v/>
      </c>
      <c r="F88" s="4" t="n"/>
      <c r="G88" s="4" t="inlineStr">
        <is>
          <t>https://www.dold-mechatronik.de/Nutenstein-mit-Steg-I-Typ-Nut-6-Gewindedurchmesser-M3</t>
        </is>
      </c>
      <c r="H88" t="inlineStr">
        <is>
          <t>identifiziert</t>
        </is>
      </c>
    </row>
    <row r="89" ht="30" customHeight="1">
      <c r="A89" s="3" t="inlineStr">
        <is>
          <t>Unterlegscheiben M5</t>
        </is>
      </c>
      <c r="B89" s="4" t="inlineStr">
        <is>
          <t>DOLD</t>
        </is>
      </c>
      <c r="C89" s="4" t="n">
        <v>16</v>
      </c>
      <c r="D89" s="6" t="n">
        <v>0.15</v>
      </c>
      <c r="E89" s="6">
        <f>IF(AND(ISNUMBER(C89),ISNUMBER(D89)),C89*D89,0)</f>
        <v/>
      </c>
      <c r="F89" s="4" t="n"/>
      <c r="G89" s="4" t="inlineStr">
        <is>
          <t>https://www.dold-mechatronik.de/DIN-125-Form-A-Unterlegscheibe-Stahl-verzinkt-d53mm-D10mm</t>
        </is>
      </c>
      <c r="H89" t="inlineStr">
        <is>
          <t>identifiziert</t>
        </is>
      </c>
    </row>
    <row r="90">
      <c r="A90" s="3" t="n"/>
      <c r="B90" s="4" t="n"/>
      <c r="C90" s="4" t="n"/>
      <c r="D90" s="4" t="n"/>
      <c r="E90" s="4" t="n"/>
      <c r="F90" s="4" t="n"/>
      <c r="G90" s="4" t="n"/>
    </row>
    <row r="91">
      <c r="A91" s="3" t="n"/>
      <c r="B91" s="4" t="n"/>
      <c r="C91" s="4" t="n"/>
      <c r="D91" s="4" t="n"/>
      <c r="E91" s="4" t="n"/>
      <c r="F91" s="4" t="n"/>
      <c r="G91" s="4" t="n"/>
    </row>
    <row r="92">
      <c r="A92" s="5" t="inlineStr">
        <is>
          <t>Einmalig (Gestell, zentrale Elektronik) inkl. MwSt.</t>
        </is>
      </c>
      <c r="B92" s="4" t="n"/>
      <c r="C92" s="4" t="n"/>
      <c r="D92" s="4" t="n"/>
      <c r="E92" s="8">
        <f>SUMIFS(E6:E60,F6:F60,"&lt;&gt;x")</f>
        <v/>
      </c>
      <c r="F92" s="4" t="n"/>
      <c r="G92" s="4" t="n"/>
    </row>
    <row r="93">
      <c r="A93" s="5" t="inlineStr">
        <is>
          <t>je Probe inkl. MwSt.</t>
        </is>
      </c>
      <c r="B93" s="4" t="n"/>
      <c r="C93" s="4" t="n"/>
      <c r="D93" s="4" t="n"/>
      <c r="E93" s="8">
        <f>SUMIFS(E6:E60,F6:F60,"x")</f>
        <v/>
      </c>
      <c r="F93" s="4" t="n"/>
      <c r="G93" s="4" t="n"/>
    </row>
    <row r="94">
      <c r="A94" s="5" t="inlineStr">
        <is>
          <t>Schrauben, Muttern &amp; Kleinteile (Vollausbau) inkl. MwSt.</t>
        </is>
      </c>
      <c r="B94" s="4" t="n"/>
      <c r="C94" s="4" t="n"/>
      <c r="D94" s="4" t="n"/>
      <c r="E94" s="8">
        <f>SUM(E63:E89)</f>
        <v/>
      </c>
      <c r="F94" s="4" t="n"/>
      <c r="G94" s="4" t="n"/>
    </row>
    <row r="95">
      <c r="A95" s="3" t="n"/>
      <c r="B95" s="4" t="n"/>
      <c r="C95" s="4" t="n"/>
      <c r="D95" s="4" t="n"/>
      <c r="E95" s="4" t="n"/>
      <c r="F95" s="4" t="n"/>
      <c r="G95" s="4" t="n"/>
    </row>
    <row r="96">
      <c r="A96" s="5" t="inlineStr">
        <is>
          <t>Prototyp = Einmalig + 1 × Probe + Schrauben inkl. MwSt.</t>
        </is>
      </c>
      <c r="B96" s="4" t="n"/>
      <c r="C96" s="4" t="n"/>
      <c r="D96" s="4" t="n"/>
      <c r="E96" s="8">
        <f>E92+E93+E94</f>
        <v/>
      </c>
      <c r="F96" s="4" t="n"/>
      <c r="G96" s="4" t="n"/>
    </row>
    <row r="97">
      <c r="A97" s="5" t="inlineStr">
        <is>
          <t>Prototyp exkl. MwSt.</t>
        </is>
      </c>
      <c r="B97" s="4" t="n"/>
      <c r="C97" s="4" t="n"/>
      <c r="D97" s="4" t="n"/>
      <c r="E97" s="8">
        <f>E96/1.19</f>
        <v/>
      </c>
      <c r="F97" s="4" t="n"/>
      <c r="G97" s="4" t="n"/>
    </row>
    <row r="98">
      <c r="A98" s="3" t="n"/>
      <c r="B98" s="4" t="n"/>
      <c r="C98" s="4" t="n"/>
      <c r="D98" s="4" t="n"/>
      <c r="E98" s="4" t="n"/>
      <c r="F98" s="4" t="n"/>
      <c r="G98" s="4" t="n"/>
    </row>
    <row r="99">
      <c r="A99" s="5" t="inlineStr">
        <is>
          <t>Vollausbau = Einmalig + 4 × Probe + Schrauben inkl. MwSt.</t>
        </is>
      </c>
      <c r="B99" s="4" t="n"/>
      <c r="C99" s="4" t="n"/>
      <c r="D99" s="4" t="n"/>
      <c r="E99" s="8">
        <f>E92+4*E93+E94</f>
        <v/>
      </c>
      <c r="F99" s="4" t="n"/>
      <c r="G99" s="4" t="n"/>
    </row>
    <row r="100">
      <c r="A100" s="5" t="inlineStr">
        <is>
          <t>Vollausbau exkl. MwSt.</t>
        </is>
      </c>
      <c r="B100" s="4" t="n"/>
      <c r="C100" s="4" t="n"/>
      <c r="D100" s="4" t="n"/>
      <c r="E100" s="8">
        <f>E99/1.19</f>
        <v/>
      </c>
      <c r="F100" s="4" t="n"/>
      <c r="G100" s="4" t="n"/>
    </row>
    <row r="101">
      <c r="A101" s="3" t="n"/>
      <c r="B101" s="4" t="n"/>
      <c r="C101" s="4" t="n"/>
      <c r="D101" s="4" t="n"/>
      <c r="E101" s="4" t="n"/>
      <c r="F101" s="4" t="n"/>
      <c r="G101" s="4" t="n"/>
    </row>
    <row r="102">
      <c r="A102" s="3" t="inlineStr">
        <is>
          <t>Orange = Menge oder Link fehlt noch.</t>
        </is>
      </c>
      <c r="B102" s="4" t="n"/>
      <c r="C102" s="4" t="n"/>
      <c r="D102" s="4" t="n"/>
      <c r="E102" s="4" t="n"/>
      <c r="F102" s="4" t="n"/>
      <c r="G102" s="4" t="n"/>
    </row>
    <row r="103">
      <c r="A103" t="inlineStr">
        <is>
          <t>Status: identifiziert → bestellt → geliefert → verbaut (Auswahl in Spalte H)</t>
        </is>
      </c>
    </row>
  </sheetData>
  <dataValidations count="1">
    <dataValidation sqref="H6 H7 H8 H9 H10 H11 H12 H13 H14 H15 H16 H17 H18 H19 H22 H23 H26 H27 H28 H29 H30 H31 H32 H35 H36 H37 H38 H39 H40 H41 H42 H43 H46 H47 H50 H51 H52 H53 H54 H55 H56 H57 H58 H59 H60 H63 H64 H65 H66 H67 H68 H69 H70 H71 H72 H73 H74 H75 H76 H77 H78 H79 H80 H81 H82 H83 H84 H85 H86 H87 H88 H89" showDropDown="0" showInputMessage="0" showErrorMessage="0" allowBlank="1" type="list">
      <formula1>"identifiziert,bestellt,geliefert,verbaut"</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06"/>
  <sheetViews>
    <sheetView workbookViewId="0">
      <pane ySplit="3" topLeftCell="A4" activePane="bottomLeft" state="frozen"/>
      <selection pane="bottomLeft" activeCell="A1" sqref="A1"/>
    </sheetView>
  </sheetViews>
  <sheetFormatPr baseColWidth="8" defaultRowHeight="15"/>
  <cols>
    <col width="62" customWidth="1" min="1" max="1"/>
    <col width="12" customWidth="1" min="2" max="2"/>
    <col width="14" customWidth="1" min="3" max="3"/>
    <col width="14" customWidth="1" min="4" max="4"/>
    <col width="70" customWidth="1" min="5" max="5"/>
    <col width="14" customWidth="1" min="6" max="6"/>
  </cols>
  <sheetData>
    <row r="1">
      <c r="A1" s="13" t="inlineStr">
        <is>
          <t>Bestellliste nach Hersteller / Shop (Mengen für Vollausbau, 4 Proben)</t>
        </is>
      </c>
    </row>
    <row r="3">
      <c r="A3" s="12" t="inlineStr">
        <is>
          <t>Teil</t>
        </is>
      </c>
      <c r="B3" s="12" t="inlineStr">
        <is>
          <t>Menge Vollausbau</t>
        </is>
      </c>
      <c r="C3" s="12" t="inlineStr">
        <is>
          <t>Einzelpreis inkl. MwSt. (€)</t>
        </is>
      </c>
      <c r="D3" s="12" t="inlineStr">
        <is>
          <t>Gesamt inkl. MwSt. (€)</t>
        </is>
      </c>
      <c r="E3" s="12" t="inlineStr">
        <is>
          <t>Link</t>
        </is>
      </c>
      <c r="F3" s="12" t="inlineStr">
        <is>
          <t>Status</t>
        </is>
      </c>
    </row>
    <row r="5">
      <c r="A5" s="14" t="inlineStr">
        <is>
          <t>Amazon</t>
        </is>
      </c>
    </row>
    <row r="6">
      <c r="A6">
        <f>Bestellliste!A18</f>
        <v/>
      </c>
      <c r="B6">
        <f>IF(Bestellliste!C18="","",IF(Bestellliste!F18="x",4*Bestellliste!C18,Bestellliste!C18))</f>
        <v/>
      </c>
      <c r="C6" s="15">
        <f>IF(Bestellliste!D18="","",Bestellliste!D18)</f>
        <v/>
      </c>
      <c r="D6" s="15">
        <f>IF(AND(ISNUMBER(B6),ISNUMBER(C6)),B6*C6,0)</f>
        <v/>
      </c>
      <c r="E6">
        <f>IF(Bestellliste!G18="","",Bestellliste!G18)</f>
        <v/>
      </c>
      <c r="F6">
        <f>IF(Bestellliste!H18="","",Bestellliste!H18)</f>
        <v/>
      </c>
    </row>
    <row r="7">
      <c r="A7">
        <f>Bestellliste!A23</f>
        <v/>
      </c>
      <c r="B7">
        <f>IF(Bestellliste!C23="","",IF(Bestellliste!F23="x",4*Bestellliste!C23,Bestellliste!C23))</f>
        <v/>
      </c>
      <c r="C7" s="15">
        <f>IF(Bestellliste!D23="","",Bestellliste!D23)</f>
        <v/>
      </c>
      <c r="D7" s="15">
        <f>IF(AND(ISNUMBER(B7),ISNUMBER(C7)),B7*C7,0)</f>
        <v/>
      </c>
      <c r="E7">
        <f>IF(Bestellliste!G23="","",Bestellliste!G23)</f>
        <v/>
      </c>
      <c r="F7">
        <f>IF(Bestellliste!H23="","",Bestellliste!H23)</f>
        <v/>
      </c>
    </row>
    <row r="8">
      <c r="A8">
        <f>Bestellliste!A32</f>
        <v/>
      </c>
      <c r="B8">
        <f>IF(Bestellliste!C32="","",IF(Bestellliste!F32="x",4*Bestellliste!C32,Bestellliste!C32))</f>
        <v/>
      </c>
      <c r="C8" s="15">
        <f>IF(Bestellliste!D32="","",Bestellliste!D32)</f>
        <v/>
      </c>
      <c r="D8" s="15">
        <f>IF(AND(ISNUMBER(B8),ISNUMBER(C8)),B8*C8,0)</f>
        <v/>
      </c>
      <c r="E8">
        <f>IF(Bestellliste!G32="","",Bestellliste!G32)</f>
        <v/>
      </c>
      <c r="F8">
        <f>IF(Bestellliste!H32="","",Bestellliste!H32)</f>
        <v/>
      </c>
    </row>
    <row r="9">
      <c r="A9">
        <f>Bestellliste!A42</f>
        <v/>
      </c>
      <c r="B9">
        <f>IF(Bestellliste!C42="","",IF(Bestellliste!F42="x",4*Bestellliste!C42,Bestellliste!C42))</f>
        <v/>
      </c>
      <c r="C9" s="15">
        <f>IF(Bestellliste!D42="","",Bestellliste!D42)</f>
        <v/>
      </c>
      <c r="D9" s="15">
        <f>IF(AND(ISNUMBER(B9),ISNUMBER(C9)),B9*C9,0)</f>
        <v/>
      </c>
      <c r="E9">
        <f>IF(Bestellliste!G42="","",Bestellliste!G42)</f>
        <v/>
      </c>
      <c r="F9">
        <f>IF(Bestellliste!H42="","",Bestellliste!H42)</f>
        <v/>
      </c>
    </row>
    <row r="10">
      <c r="A10">
        <f>Bestellliste!A60</f>
        <v/>
      </c>
      <c r="B10">
        <f>IF(Bestellliste!C60="","",IF(Bestellliste!F60="x",4*Bestellliste!C60,Bestellliste!C60))</f>
        <v/>
      </c>
      <c r="C10" s="15">
        <f>IF(Bestellliste!D60="","",Bestellliste!D60)</f>
        <v/>
      </c>
      <c r="D10" s="15">
        <f>IF(AND(ISNUMBER(B10),ISNUMBER(C10)),B10*C10,0)</f>
        <v/>
      </c>
      <c r="E10">
        <f>IF(Bestellliste!G60="","",Bestellliste!G60)</f>
        <v/>
      </c>
      <c r="F10">
        <f>IF(Bestellliste!H60="","",Bestellliste!H60)</f>
        <v/>
      </c>
    </row>
    <row r="11">
      <c r="A11" s="16" t="inlineStr">
        <is>
          <t>Summe Amazon</t>
        </is>
      </c>
      <c r="D11" s="15">
        <f>SUM(D6:D10)</f>
        <v/>
      </c>
    </row>
    <row r="13">
      <c r="A13" s="14" t="inlineStr">
        <is>
          <t>DOLD</t>
        </is>
      </c>
    </row>
    <row r="14">
      <c r="A14">
        <f>Bestellliste!A6</f>
        <v/>
      </c>
      <c r="B14">
        <f>IF(Bestellliste!C6="","",IF(Bestellliste!F6="x",4*Bestellliste!C6,Bestellliste!C6))</f>
        <v/>
      </c>
      <c r="C14" s="15">
        <f>IF(Bestellliste!D6="","",Bestellliste!D6)</f>
        <v/>
      </c>
      <c r="D14" s="15">
        <f>IF(AND(ISNUMBER(B14),ISNUMBER(C14)),B14*C14,0)</f>
        <v/>
      </c>
      <c r="E14">
        <f>IF(Bestellliste!G6="","",Bestellliste!G6)</f>
        <v/>
      </c>
      <c r="F14">
        <f>IF(Bestellliste!H6="","",Bestellliste!H6)</f>
        <v/>
      </c>
    </row>
    <row r="15">
      <c r="A15">
        <f>Bestellliste!A7</f>
        <v/>
      </c>
      <c r="B15">
        <f>IF(Bestellliste!C7="","",IF(Bestellliste!F7="x",4*Bestellliste!C7,Bestellliste!C7))</f>
        <v/>
      </c>
      <c r="C15" s="15">
        <f>IF(Bestellliste!D7="","",Bestellliste!D7)</f>
        <v/>
      </c>
      <c r="D15" s="15">
        <f>IF(AND(ISNUMBER(B15),ISNUMBER(C15)),B15*C15,0)</f>
        <v/>
      </c>
      <c r="E15">
        <f>IF(Bestellliste!G7="","",Bestellliste!G7)</f>
        <v/>
      </c>
      <c r="F15">
        <f>IF(Bestellliste!H7="","",Bestellliste!H7)</f>
        <v/>
      </c>
    </row>
    <row r="16">
      <c r="A16">
        <f>Bestellliste!A8</f>
        <v/>
      </c>
      <c r="B16">
        <f>IF(Bestellliste!C8="","",IF(Bestellliste!F8="x",4*Bestellliste!C8,Bestellliste!C8))</f>
        <v/>
      </c>
      <c r="C16" s="15">
        <f>IF(Bestellliste!D8="","",Bestellliste!D8)</f>
        <v/>
      </c>
      <c r="D16" s="15">
        <f>IF(AND(ISNUMBER(B16),ISNUMBER(C16)),B16*C16,0)</f>
        <v/>
      </c>
      <c r="E16">
        <f>IF(Bestellliste!G8="","",Bestellliste!G8)</f>
        <v/>
      </c>
      <c r="F16">
        <f>IF(Bestellliste!H8="","",Bestellliste!H8)</f>
        <v/>
      </c>
    </row>
    <row r="17">
      <c r="A17">
        <f>Bestellliste!A9</f>
        <v/>
      </c>
      <c r="B17">
        <f>IF(Bestellliste!C9="","",IF(Bestellliste!F9="x",4*Bestellliste!C9,Bestellliste!C9))</f>
        <v/>
      </c>
      <c r="C17" s="15">
        <f>IF(Bestellliste!D9="","",Bestellliste!D9)</f>
        <v/>
      </c>
      <c r="D17" s="15">
        <f>IF(AND(ISNUMBER(B17),ISNUMBER(C17)),B17*C17,0)</f>
        <v/>
      </c>
      <c r="E17">
        <f>IF(Bestellliste!G9="","",Bestellliste!G9)</f>
        <v/>
      </c>
      <c r="F17">
        <f>IF(Bestellliste!H9="","",Bestellliste!H9)</f>
        <v/>
      </c>
    </row>
    <row r="18">
      <c r="A18">
        <f>Bestellliste!A10</f>
        <v/>
      </c>
      <c r="B18">
        <f>IF(Bestellliste!C10="","",IF(Bestellliste!F10="x",4*Bestellliste!C10,Bestellliste!C10))</f>
        <v/>
      </c>
      <c r="C18" s="15">
        <f>IF(Bestellliste!D10="","",Bestellliste!D10)</f>
        <v/>
      </c>
      <c r="D18" s="15">
        <f>IF(AND(ISNUMBER(B18),ISNUMBER(C18)),B18*C18,0)</f>
        <v/>
      </c>
      <c r="E18">
        <f>IF(Bestellliste!G10="","",Bestellliste!G10)</f>
        <v/>
      </c>
      <c r="F18">
        <f>IF(Bestellliste!H10="","",Bestellliste!H10)</f>
        <v/>
      </c>
    </row>
    <row r="19">
      <c r="A19">
        <f>Bestellliste!A11</f>
        <v/>
      </c>
      <c r="B19">
        <f>IF(Bestellliste!C11="","",IF(Bestellliste!F11="x",4*Bestellliste!C11,Bestellliste!C11))</f>
        <v/>
      </c>
      <c r="C19" s="15">
        <f>IF(Bestellliste!D11="","",Bestellliste!D11)</f>
        <v/>
      </c>
      <c r="D19" s="15">
        <f>IF(AND(ISNUMBER(B19),ISNUMBER(C19)),B19*C19,0)</f>
        <v/>
      </c>
      <c r="E19">
        <f>IF(Bestellliste!G11="","",Bestellliste!G11)</f>
        <v/>
      </c>
      <c r="F19">
        <f>IF(Bestellliste!H11="","",Bestellliste!H11)</f>
        <v/>
      </c>
    </row>
    <row r="20">
      <c r="A20">
        <f>Bestellliste!A12</f>
        <v/>
      </c>
      <c r="B20">
        <f>IF(Bestellliste!C12="","",IF(Bestellliste!F12="x",4*Bestellliste!C12,Bestellliste!C12))</f>
        <v/>
      </c>
      <c r="C20" s="15">
        <f>IF(Bestellliste!D12="","",Bestellliste!D12)</f>
        <v/>
      </c>
      <c r="D20" s="15">
        <f>IF(AND(ISNUMBER(B20),ISNUMBER(C20)),B20*C20,0)</f>
        <v/>
      </c>
      <c r="E20">
        <f>IF(Bestellliste!G12="","",Bestellliste!G12)</f>
        <v/>
      </c>
      <c r="F20">
        <f>IF(Bestellliste!H12="","",Bestellliste!H12)</f>
        <v/>
      </c>
    </row>
    <row r="21">
      <c r="A21">
        <f>Bestellliste!A13</f>
        <v/>
      </c>
      <c r="B21">
        <f>IF(Bestellliste!C13="","",IF(Bestellliste!F13="x",4*Bestellliste!C13,Bestellliste!C13))</f>
        <v/>
      </c>
      <c r="C21" s="15">
        <f>IF(Bestellliste!D13="","",Bestellliste!D13)</f>
        <v/>
      </c>
      <c r="D21" s="15">
        <f>IF(AND(ISNUMBER(B21),ISNUMBER(C21)),B21*C21,0)</f>
        <v/>
      </c>
      <c r="E21">
        <f>IF(Bestellliste!G13="","",Bestellliste!G13)</f>
        <v/>
      </c>
      <c r="F21">
        <f>IF(Bestellliste!H13="","",Bestellliste!H13)</f>
        <v/>
      </c>
    </row>
    <row r="22">
      <c r="A22">
        <f>Bestellliste!A14</f>
        <v/>
      </c>
      <c r="B22">
        <f>IF(Bestellliste!C14="","",IF(Bestellliste!F14="x",4*Bestellliste!C14,Bestellliste!C14))</f>
        <v/>
      </c>
      <c r="C22" s="15">
        <f>IF(Bestellliste!D14="","",Bestellliste!D14)</f>
        <v/>
      </c>
      <c r="D22" s="15">
        <f>IF(AND(ISNUMBER(B22),ISNUMBER(C22)),B22*C22,0)</f>
        <v/>
      </c>
      <c r="E22">
        <f>IF(Bestellliste!G14="","",Bestellliste!G14)</f>
        <v/>
      </c>
      <c r="F22">
        <f>IF(Bestellliste!H14="","",Bestellliste!H14)</f>
        <v/>
      </c>
    </row>
    <row r="23">
      <c r="A23">
        <f>Bestellliste!A17</f>
        <v/>
      </c>
      <c r="B23">
        <f>IF(Bestellliste!C17="","",IF(Bestellliste!F17="x",4*Bestellliste!C17,Bestellliste!C17))</f>
        <v/>
      </c>
      <c r="C23" s="15">
        <f>IF(Bestellliste!D17="","",Bestellliste!D17)</f>
        <v/>
      </c>
      <c r="D23" s="15">
        <f>IF(AND(ISNUMBER(B23),ISNUMBER(C23)),B23*C23,0)</f>
        <v/>
      </c>
      <c r="E23">
        <f>IF(Bestellliste!G17="","",Bestellliste!G17)</f>
        <v/>
      </c>
      <c r="F23">
        <f>IF(Bestellliste!H17="","",Bestellliste!H17)</f>
        <v/>
      </c>
    </row>
    <row r="24">
      <c r="A24">
        <f>Bestellliste!A19</f>
        <v/>
      </c>
      <c r="B24">
        <f>IF(Bestellliste!C19="","",IF(Bestellliste!F19="x",4*Bestellliste!C19,Bestellliste!C19))</f>
        <v/>
      </c>
      <c r="C24" s="15">
        <f>IF(Bestellliste!D19="","",Bestellliste!D19)</f>
        <v/>
      </c>
      <c r="D24" s="15">
        <f>IF(AND(ISNUMBER(B24),ISNUMBER(C24)),B24*C24,0)</f>
        <v/>
      </c>
      <c r="E24">
        <f>IF(Bestellliste!G19="","",Bestellliste!G19)</f>
        <v/>
      </c>
      <c r="F24">
        <f>IF(Bestellliste!H19="","",Bestellliste!H19)</f>
        <v/>
      </c>
    </row>
    <row r="25">
      <c r="A25">
        <f>Bestellliste!A27</f>
        <v/>
      </c>
      <c r="B25">
        <f>IF(Bestellliste!C27="","",IF(Bestellliste!F27="x",4*Bestellliste!C27,Bestellliste!C27))</f>
        <v/>
      </c>
      <c r="C25" s="15">
        <f>IF(Bestellliste!D27="","",Bestellliste!D27)</f>
        <v/>
      </c>
      <c r="D25" s="15">
        <f>IF(AND(ISNUMBER(B25),ISNUMBER(C25)),B25*C25,0)</f>
        <v/>
      </c>
      <c r="E25">
        <f>IF(Bestellliste!G27="","",Bestellliste!G27)</f>
        <v/>
      </c>
      <c r="F25">
        <f>IF(Bestellliste!H27="","",Bestellliste!H27)</f>
        <v/>
      </c>
    </row>
    <row r="26">
      <c r="A26">
        <f>Bestellliste!A30</f>
        <v/>
      </c>
      <c r="B26">
        <f>IF(Bestellliste!C30="","",IF(Bestellliste!F30="x",4*Bestellliste!C30,Bestellliste!C30))</f>
        <v/>
      </c>
      <c r="C26" s="15">
        <f>IF(Bestellliste!D30="","",Bestellliste!D30)</f>
        <v/>
      </c>
      <c r="D26" s="15">
        <f>IF(AND(ISNUMBER(B26),ISNUMBER(C26)),B26*C26,0)</f>
        <v/>
      </c>
      <c r="E26">
        <f>IF(Bestellliste!G30="","",Bestellliste!G30)</f>
        <v/>
      </c>
      <c r="F26">
        <f>IF(Bestellliste!H30="","",Bestellliste!H30)</f>
        <v/>
      </c>
    </row>
    <row r="27">
      <c r="A27">
        <f>Bestellliste!A31</f>
        <v/>
      </c>
      <c r="B27">
        <f>IF(Bestellliste!C31="","",IF(Bestellliste!F31="x",4*Bestellliste!C31,Bestellliste!C31))</f>
        <v/>
      </c>
      <c r="C27" s="15">
        <f>IF(Bestellliste!D31="","",Bestellliste!D31)</f>
        <v/>
      </c>
      <c r="D27" s="15">
        <f>IF(AND(ISNUMBER(B27),ISNUMBER(C27)),B27*C27,0)</f>
        <v/>
      </c>
      <c r="E27">
        <f>IF(Bestellliste!G31="","",Bestellliste!G31)</f>
        <v/>
      </c>
      <c r="F27">
        <f>IF(Bestellliste!H31="","",Bestellliste!H31)</f>
        <v/>
      </c>
    </row>
    <row r="28">
      <c r="A28">
        <f>Bestellliste!A35</f>
        <v/>
      </c>
      <c r="B28">
        <f>IF(Bestellliste!C35="","",IF(Bestellliste!F35="x",4*Bestellliste!C35,Bestellliste!C35))</f>
        <v/>
      </c>
      <c r="C28" s="15">
        <f>IF(Bestellliste!D35="","",Bestellliste!D35)</f>
        <v/>
      </c>
      <c r="D28" s="15">
        <f>IF(AND(ISNUMBER(B28),ISNUMBER(C28)),B28*C28,0)</f>
        <v/>
      </c>
      <c r="E28">
        <f>IF(Bestellliste!G35="","",Bestellliste!G35)</f>
        <v/>
      </c>
      <c r="F28">
        <f>IF(Bestellliste!H35="","",Bestellliste!H35)</f>
        <v/>
      </c>
    </row>
    <row r="29">
      <c r="A29">
        <f>Bestellliste!A36</f>
        <v/>
      </c>
      <c r="B29">
        <f>IF(Bestellliste!C36="","",IF(Bestellliste!F36="x",4*Bestellliste!C36,Bestellliste!C36))</f>
        <v/>
      </c>
      <c r="C29" s="15">
        <f>IF(Bestellliste!D36="","",Bestellliste!D36)</f>
        <v/>
      </c>
      <c r="D29" s="15">
        <f>IF(AND(ISNUMBER(B29),ISNUMBER(C29)),B29*C29,0)</f>
        <v/>
      </c>
      <c r="E29">
        <f>IF(Bestellliste!G36="","",Bestellliste!G36)</f>
        <v/>
      </c>
      <c r="F29">
        <f>IF(Bestellliste!H36="","",Bestellliste!H36)</f>
        <v/>
      </c>
    </row>
    <row r="30">
      <c r="A30">
        <f>Bestellliste!A38</f>
        <v/>
      </c>
      <c r="B30">
        <f>IF(Bestellliste!C38="","",IF(Bestellliste!F38="x",4*Bestellliste!C38,Bestellliste!C38))</f>
        <v/>
      </c>
      <c r="C30" s="15">
        <f>IF(Bestellliste!D38="","",Bestellliste!D38)</f>
        <v/>
      </c>
      <c r="D30" s="15">
        <f>IF(AND(ISNUMBER(B30),ISNUMBER(C30)),B30*C30,0)</f>
        <v/>
      </c>
      <c r="E30">
        <f>IF(Bestellliste!G38="","",Bestellliste!G38)</f>
        <v/>
      </c>
      <c r="F30">
        <f>IF(Bestellliste!H38="","",Bestellliste!H38)</f>
        <v/>
      </c>
    </row>
    <row r="31">
      <c r="A31">
        <f>Bestellliste!A39</f>
        <v/>
      </c>
      <c r="B31">
        <f>IF(Bestellliste!C39="","",IF(Bestellliste!F39="x",4*Bestellliste!C39,Bestellliste!C39))</f>
        <v/>
      </c>
      <c r="C31" s="15">
        <f>IF(Bestellliste!D39="","",Bestellliste!D39)</f>
        <v/>
      </c>
      <c r="D31" s="15">
        <f>IF(AND(ISNUMBER(B31),ISNUMBER(C31)),B31*C31,0)</f>
        <v/>
      </c>
      <c r="E31">
        <f>IF(Bestellliste!G39="","",Bestellliste!G39)</f>
        <v/>
      </c>
      <c r="F31">
        <f>IF(Bestellliste!H39="","",Bestellliste!H39)</f>
        <v/>
      </c>
    </row>
    <row r="32">
      <c r="A32">
        <f>Bestellliste!A40</f>
        <v/>
      </c>
      <c r="B32">
        <f>IF(Bestellliste!C40="","",IF(Bestellliste!F40="x",4*Bestellliste!C40,Bestellliste!C40))</f>
        <v/>
      </c>
      <c r="C32" s="15">
        <f>IF(Bestellliste!D40="","",Bestellliste!D40)</f>
        <v/>
      </c>
      <c r="D32" s="15">
        <f>IF(AND(ISNUMBER(B32),ISNUMBER(C32)),B32*C32,0)</f>
        <v/>
      </c>
      <c r="E32">
        <f>IF(Bestellliste!G40="","",Bestellliste!G40)</f>
        <v/>
      </c>
      <c r="F32">
        <f>IF(Bestellliste!H40="","",Bestellliste!H40)</f>
        <v/>
      </c>
    </row>
    <row r="33">
      <c r="A33">
        <f>Bestellliste!A46</f>
        <v/>
      </c>
      <c r="B33">
        <f>IF(Bestellliste!C46="","",IF(Bestellliste!F46="x",4*Bestellliste!C46,Bestellliste!C46))</f>
        <v/>
      </c>
      <c r="C33" s="15">
        <f>IF(Bestellliste!D46="","",Bestellliste!D46)</f>
        <v/>
      </c>
      <c r="D33" s="15">
        <f>IF(AND(ISNUMBER(B33),ISNUMBER(C33)),B33*C33,0)</f>
        <v/>
      </c>
      <c r="E33">
        <f>IF(Bestellliste!G46="","",Bestellliste!G46)</f>
        <v/>
      </c>
      <c r="F33">
        <f>IF(Bestellliste!H46="","",Bestellliste!H46)</f>
        <v/>
      </c>
    </row>
    <row r="34">
      <c r="A34">
        <f>Bestellliste!A52</f>
        <v/>
      </c>
      <c r="B34">
        <f>IF(Bestellliste!C52="","",IF(Bestellliste!F52="x",4*Bestellliste!C52,Bestellliste!C52))</f>
        <v/>
      </c>
      <c r="C34" s="15">
        <f>IF(Bestellliste!D52="","",Bestellliste!D52)</f>
        <v/>
      </c>
      <c r="D34" s="15">
        <f>IF(AND(ISNUMBER(B34),ISNUMBER(C34)),B34*C34,0)</f>
        <v/>
      </c>
      <c r="E34">
        <f>IF(Bestellliste!G52="","",Bestellliste!G52)</f>
        <v/>
      </c>
      <c r="F34">
        <f>IF(Bestellliste!H52="","",Bestellliste!H52)</f>
        <v/>
      </c>
    </row>
    <row r="35">
      <c r="A35">
        <f>Bestellliste!A63</f>
        <v/>
      </c>
      <c r="B35">
        <f>IF(Bestellliste!C63="","",IF(Bestellliste!F63="x",4*Bestellliste!C63,Bestellliste!C63))</f>
        <v/>
      </c>
      <c r="C35" s="15">
        <f>IF(Bestellliste!D63="","",Bestellliste!D63)</f>
        <v/>
      </c>
      <c r="D35" s="15">
        <f>IF(AND(ISNUMBER(B35),ISNUMBER(C35)),B35*C35,0)</f>
        <v/>
      </c>
      <c r="E35">
        <f>IF(Bestellliste!G63="","",Bestellliste!G63)</f>
        <v/>
      </c>
      <c r="F35">
        <f>IF(Bestellliste!H63="","",Bestellliste!H63)</f>
        <v/>
      </c>
    </row>
    <row r="36">
      <c r="A36">
        <f>Bestellliste!A64</f>
        <v/>
      </c>
      <c r="B36">
        <f>IF(Bestellliste!C64="","",IF(Bestellliste!F64="x",4*Bestellliste!C64,Bestellliste!C64))</f>
        <v/>
      </c>
      <c r="C36" s="15">
        <f>IF(Bestellliste!D64="","",Bestellliste!D64)</f>
        <v/>
      </c>
      <c r="D36" s="15">
        <f>IF(AND(ISNUMBER(B36),ISNUMBER(C36)),B36*C36,0)</f>
        <v/>
      </c>
      <c r="E36">
        <f>IF(Bestellliste!G64="","",Bestellliste!G64)</f>
        <v/>
      </c>
      <c r="F36">
        <f>IF(Bestellliste!H64="","",Bestellliste!H64)</f>
        <v/>
      </c>
    </row>
    <row r="37">
      <c r="A37">
        <f>Bestellliste!A65</f>
        <v/>
      </c>
      <c r="B37">
        <f>IF(Bestellliste!C65="","",IF(Bestellliste!F65="x",4*Bestellliste!C65,Bestellliste!C65))</f>
        <v/>
      </c>
      <c r="C37" s="15">
        <f>IF(Bestellliste!D65="","",Bestellliste!D65)</f>
        <v/>
      </c>
      <c r="D37" s="15">
        <f>IF(AND(ISNUMBER(B37),ISNUMBER(C37)),B37*C37,0)</f>
        <v/>
      </c>
      <c r="E37">
        <f>IF(Bestellliste!G65="","",Bestellliste!G65)</f>
        <v/>
      </c>
      <c r="F37">
        <f>IF(Bestellliste!H65="","",Bestellliste!H65)</f>
        <v/>
      </c>
    </row>
    <row r="38">
      <c r="A38">
        <f>Bestellliste!A66</f>
        <v/>
      </c>
      <c r="B38">
        <f>IF(Bestellliste!C66="","",IF(Bestellliste!F66="x",4*Bestellliste!C66,Bestellliste!C66))</f>
        <v/>
      </c>
      <c r="C38" s="15">
        <f>IF(Bestellliste!D66="","",Bestellliste!D66)</f>
        <v/>
      </c>
      <c r="D38" s="15">
        <f>IF(AND(ISNUMBER(B38),ISNUMBER(C38)),B38*C38,0)</f>
        <v/>
      </c>
      <c r="E38">
        <f>IF(Bestellliste!G66="","",Bestellliste!G66)</f>
        <v/>
      </c>
      <c r="F38">
        <f>IF(Bestellliste!H66="","",Bestellliste!H66)</f>
        <v/>
      </c>
    </row>
    <row r="39">
      <c r="A39">
        <f>Bestellliste!A67</f>
        <v/>
      </c>
      <c r="B39">
        <f>IF(Bestellliste!C67="","",IF(Bestellliste!F67="x",4*Bestellliste!C67,Bestellliste!C67))</f>
        <v/>
      </c>
      <c r="C39" s="15">
        <f>IF(Bestellliste!D67="","",Bestellliste!D67)</f>
        <v/>
      </c>
      <c r="D39" s="15">
        <f>IF(AND(ISNUMBER(B39),ISNUMBER(C39)),B39*C39,0)</f>
        <v/>
      </c>
      <c r="E39">
        <f>IF(Bestellliste!G67="","",Bestellliste!G67)</f>
        <v/>
      </c>
      <c r="F39">
        <f>IF(Bestellliste!H67="","",Bestellliste!H67)</f>
        <v/>
      </c>
    </row>
    <row r="40">
      <c r="A40">
        <f>Bestellliste!A68</f>
        <v/>
      </c>
      <c r="B40">
        <f>IF(Bestellliste!C68="","",IF(Bestellliste!F68="x",4*Bestellliste!C68,Bestellliste!C68))</f>
        <v/>
      </c>
      <c r="C40" s="15">
        <f>IF(Bestellliste!D68="","",Bestellliste!D68)</f>
        <v/>
      </c>
      <c r="D40" s="15">
        <f>IF(AND(ISNUMBER(B40),ISNUMBER(C40)),B40*C40,0)</f>
        <v/>
      </c>
      <c r="E40">
        <f>IF(Bestellliste!G68="","",Bestellliste!G68)</f>
        <v/>
      </c>
      <c r="F40">
        <f>IF(Bestellliste!H68="","",Bestellliste!H68)</f>
        <v/>
      </c>
    </row>
    <row r="41">
      <c r="A41">
        <f>Bestellliste!A69</f>
        <v/>
      </c>
      <c r="B41">
        <f>IF(Bestellliste!C69="","",IF(Bestellliste!F69="x",4*Bestellliste!C69,Bestellliste!C69))</f>
        <v/>
      </c>
      <c r="C41" s="15">
        <f>IF(Bestellliste!D69="","",Bestellliste!D69)</f>
        <v/>
      </c>
      <c r="D41" s="15">
        <f>IF(AND(ISNUMBER(B41),ISNUMBER(C41)),B41*C41,0)</f>
        <v/>
      </c>
      <c r="E41">
        <f>IF(Bestellliste!G69="","",Bestellliste!G69)</f>
        <v/>
      </c>
      <c r="F41">
        <f>IF(Bestellliste!H69="","",Bestellliste!H69)</f>
        <v/>
      </c>
    </row>
    <row r="42">
      <c r="A42">
        <f>Bestellliste!A70</f>
        <v/>
      </c>
      <c r="B42">
        <f>IF(Bestellliste!C70="","",IF(Bestellliste!F70="x",4*Bestellliste!C70,Bestellliste!C70))</f>
        <v/>
      </c>
      <c r="C42" s="15">
        <f>IF(Bestellliste!D70="","",Bestellliste!D70)</f>
        <v/>
      </c>
      <c r="D42" s="15">
        <f>IF(AND(ISNUMBER(B42),ISNUMBER(C42)),B42*C42,0)</f>
        <v/>
      </c>
      <c r="E42">
        <f>IF(Bestellliste!G70="","",Bestellliste!G70)</f>
        <v/>
      </c>
      <c r="F42">
        <f>IF(Bestellliste!H70="","",Bestellliste!H70)</f>
        <v/>
      </c>
    </row>
    <row r="43">
      <c r="A43">
        <f>Bestellliste!A71</f>
        <v/>
      </c>
      <c r="B43">
        <f>IF(Bestellliste!C71="","",IF(Bestellliste!F71="x",4*Bestellliste!C71,Bestellliste!C71))</f>
        <v/>
      </c>
      <c r="C43" s="15">
        <f>IF(Bestellliste!D71="","",Bestellliste!D71)</f>
        <v/>
      </c>
      <c r="D43" s="15">
        <f>IF(AND(ISNUMBER(B43),ISNUMBER(C43)),B43*C43,0)</f>
        <v/>
      </c>
      <c r="E43">
        <f>IF(Bestellliste!G71="","",Bestellliste!G71)</f>
        <v/>
      </c>
      <c r="F43">
        <f>IF(Bestellliste!H71="","",Bestellliste!H71)</f>
        <v/>
      </c>
    </row>
    <row r="44">
      <c r="A44">
        <f>Bestellliste!A72</f>
        <v/>
      </c>
      <c r="B44">
        <f>IF(Bestellliste!C72="","",IF(Bestellliste!F72="x",4*Bestellliste!C72,Bestellliste!C72))</f>
        <v/>
      </c>
      <c r="C44" s="15">
        <f>IF(Bestellliste!D72="","",Bestellliste!D72)</f>
        <v/>
      </c>
      <c r="D44" s="15">
        <f>IF(AND(ISNUMBER(B44),ISNUMBER(C44)),B44*C44,0)</f>
        <v/>
      </c>
      <c r="E44">
        <f>IF(Bestellliste!G72="","",Bestellliste!G72)</f>
        <v/>
      </c>
      <c r="F44">
        <f>IF(Bestellliste!H72="","",Bestellliste!H72)</f>
        <v/>
      </c>
    </row>
    <row r="45">
      <c r="A45">
        <f>Bestellliste!A73</f>
        <v/>
      </c>
      <c r="B45">
        <f>IF(Bestellliste!C73="","",IF(Bestellliste!F73="x",4*Bestellliste!C73,Bestellliste!C73))</f>
        <v/>
      </c>
      <c r="C45" s="15">
        <f>IF(Bestellliste!D73="","",Bestellliste!D73)</f>
        <v/>
      </c>
      <c r="D45" s="15">
        <f>IF(AND(ISNUMBER(B45),ISNUMBER(C45)),B45*C45,0)</f>
        <v/>
      </c>
      <c r="E45">
        <f>IF(Bestellliste!G73="","",Bestellliste!G73)</f>
        <v/>
      </c>
      <c r="F45">
        <f>IF(Bestellliste!H73="","",Bestellliste!H73)</f>
        <v/>
      </c>
    </row>
    <row r="46">
      <c r="A46">
        <f>Bestellliste!A74</f>
        <v/>
      </c>
      <c r="B46">
        <f>IF(Bestellliste!C74="","",IF(Bestellliste!F74="x",4*Bestellliste!C74,Bestellliste!C74))</f>
        <v/>
      </c>
      <c r="C46" s="15">
        <f>IF(Bestellliste!D74="","",Bestellliste!D74)</f>
        <v/>
      </c>
      <c r="D46" s="15">
        <f>IF(AND(ISNUMBER(B46),ISNUMBER(C46)),B46*C46,0)</f>
        <v/>
      </c>
      <c r="E46">
        <f>IF(Bestellliste!G74="","",Bestellliste!G74)</f>
        <v/>
      </c>
      <c r="F46">
        <f>IF(Bestellliste!H74="","",Bestellliste!H74)</f>
        <v/>
      </c>
    </row>
    <row r="47">
      <c r="A47">
        <f>Bestellliste!A75</f>
        <v/>
      </c>
      <c r="B47">
        <f>IF(Bestellliste!C75="","",IF(Bestellliste!F75="x",4*Bestellliste!C75,Bestellliste!C75))</f>
        <v/>
      </c>
      <c r="C47" s="15">
        <f>IF(Bestellliste!D75="","",Bestellliste!D75)</f>
        <v/>
      </c>
      <c r="D47" s="15">
        <f>IF(AND(ISNUMBER(B47),ISNUMBER(C47)),B47*C47,0)</f>
        <v/>
      </c>
      <c r="E47">
        <f>IF(Bestellliste!G75="","",Bestellliste!G75)</f>
        <v/>
      </c>
      <c r="F47">
        <f>IF(Bestellliste!H75="","",Bestellliste!H75)</f>
        <v/>
      </c>
    </row>
    <row r="48">
      <c r="A48">
        <f>Bestellliste!A76</f>
        <v/>
      </c>
      <c r="B48">
        <f>IF(Bestellliste!C76="","",IF(Bestellliste!F76="x",4*Bestellliste!C76,Bestellliste!C76))</f>
        <v/>
      </c>
      <c r="C48" s="15">
        <f>IF(Bestellliste!D76="","",Bestellliste!D76)</f>
        <v/>
      </c>
      <c r="D48" s="15">
        <f>IF(AND(ISNUMBER(B48),ISNUMBER(C48)),B48*C48,0)</f>
        <v/>
      </c>
      <c r="E48">
        <f>IF(Bestellliste!G76="","",Bestellliste!G76)</f>
        <v/>
      </c>
      <c r="F48">
        <f>IF(Bestellliste!H76="","",Bestellliste!H76)</f>
        <v/>
      </c>
    </row>
    <row r="49">
      <c r="A49">
        <f>Bestellliste!A77</f>
        <v/>
      </c>
      <c r="B49">
        <f>IF(Bestellliste!C77="","",IF(Bestellliste!F77="x",4*Bestellliste!C77,Bestellliste!C77))</f>
        <v/>
      </c>
      <c r="C49" s="15">
        <f>IF(Bestellliste!D77="","",Bestellliste!D77)</f>
        <v/>
      </c>
      <c r="D49" s="15">
        <f>IF(AND(ISNUMBER(B49),ISNUMBER(C49)),B49*C49,0)</f>
        <v/>
      </c>
      <c r="E49">
        <f>IF(Bestellliste!G77="","",Bestellliste!G77)</f>
        <v/>
      </c>
      <c r="F49">
        <f>IF(Bestellliste!H77="","",Bestellliste!H77)</f>
        <v/>
      </c>
    </row>
    <row r="50">
      <c r="A50">
        <f>Bestellliste!A78</f>
        <v/>
      </c>
      <c r="B50">
        <f>IF(Bestellliste!C78="","",IF(Bestellliste!F78="x",4*Bestellliste!C78,Bestellliste!C78))</f>
        <v/>
      </c>
      <c r="C50" s="15">
        <f>IF(Bestellliste!D78="","",Bestellliste!D78)</f>
        <v/>
      </c>
      <c r="D50" s="15">
        <f>IF(AND(ISNUMBER(B50),ISNUMBER(C50)),B50*C50,0)</f>
        <v/>
      </c>
      <c r="E50">
        <f>IF(Bestellliste!G78="","",Bestellliste!G78)</f>
        <v/>
      </c>
      <c r="F50">
        <f>IF(Bestellliste!H78="","",Bestellliste!H78)</f>
        <v/>
      </c>
    </row>
    <row r="51">
      <c r="A51">
        <f>Bestellliste!A79</f>
        <v/>
      </c>
      <c r="B51">
        <f>IF(Bestellliste!C79="","",IF(Bestellliste!F79="x",4*Bestellliste!C79,Bestellliste!C79))</f>
        <v/>
      </c>
      <c r="C51" s="15">
        <f>IF(Bestellliste!D79="","",Bestellliste!D79)</f>
        <v/>
      </c>
      <c r="D51" s="15">
        <f>IF(AND(ISNUMBER(B51),ISNUMBER(C51)),B51*C51,0)</f>
        <v/>
      </c>
      <c r="E51">
        <f>IF(Bestellliste!G79="","",Bestellliste!G79)</f>
        <v/>
      </c>
      <c r="F51">
        <f>IF(Bestellliste!H79="","",Bestellliste!H79)</f>
        <v/>
      </c>
    </row>
    <row r="52">
      <c r="A52">
        <f>Bestellliste!A80</f>
        <v/>
      </c>
      <c r="B52">
        <f>IF(Bestellliste!C80="","",IF(Bestellliste!F80="x",4*Bestellliste!C80,Bestellliste!C80))</f>
        <v/>
      </c>
      <c r="C52" s="15">
        <f>IF(Bestellliste!D80="","",Bestellliste!D80)</f>
        <v/>
      </c>
      <c r="D52" s="15">
        <f>IF(AND(ISNUMBER(B52),ISNUMBER(C52)),B52*C52,0)</f>
        <v/>
      </c>
      <c r="E52">
        <f>IF(Bestellliste!G80="","",Bestellliste!G80)</f>
        <v/>
      </c>
      <c r="F52">
        <f>IF(Bestellliste!H80="","",Bestellliste!H80)</f>
        <v/>
      </c>
    </row>
    <row r="53">
      <c r="A53">
        <f>Bestellliste!A81</f>
        <v/>
      </c>
      <c r="B53">
        <f>IF(Bestellliste!C81="","",IF(Bestellliste!F81="x",4*Bestellliste!C81,Bestellliste!C81))</f>
        <v/>
      </c>
      <c r="C53" s="15">
        <f>IF(Bestellliste!D81="","",Bestellliste!D81)</f>
        <v/>
      </c>
      <c r="D53" s="15">
        <f>IF(AND(ISNUMBER(B53),ISNUMBER(C53)),B53*C53,0)</f>
        <v/>
      </c>
      <c r="E53">
        <f>IF(Bestellliste!G81="","",Bestellliste!G81)</f>
        <v/>
      </c>
      <c r="F53">
        <f>IF(Bestellliste!H81="","",Bestellliste!H81)</f>
        <v/>
      </c>
    </row>
    <row r="54">
      <c r="A54">
        <f>Bestellliste!A82</f>
        <v/>
      </c>
      <c r="B54">
        <f>IF(Bestellliste!C82="","",IF(Bestellliste!F82="x",4*Bestellliste!C82,Bestellliste!C82))</f>
        <v/>
      </c>
      <c r="C54" s="15">
        <f>IF(Bestellliste!D82="","",Bestellliste!D82)</f>
        <v/>
      </c>
      <c r="D54" s="15">
        <f>IF(AND(ISNUMBER(B54),ISNUMBER(C54)),B54*C54,0)</f>
        <v/>
      </c>
      <c r="E54">
        <f>IF(Bestellliste!G82="","",Bestellliste!G82)</f>
        <v/>
      </c>
      <c r="F54">
        <f>IF(Bestellliste!H82="","",Bestellliste!H82)</f>
        <v/>
      </c>
    </row>
    <row r="55">
      <c r="A55">
        <f>Bestellliste!A83</f>
        <v/>
      </c>
      <c r="B55">
        <f>IF(Bestellliste!C83="","",IF(Bestellliste!F83="x",4*Bestellliste!C83,Bestellliste!C83))</f>
        <v/>
      </c>
      <c r="C55" s="15">
        <f>IF(Bestellliste!D83="","",Bestellliste!D83)</f>
        <v/>
      </c>
      <c r="D55" s="15">
        <f>IF(AND(ISNUMBER(B55),ISNUMBER(C55)),B55*C55,0)</f>
        <v/>
      </c>
      <c r="E55">
        <f>IF(Bestellliste!G83="","",Bestellliste!G83)</f>
        <v/>
      </c>
      <c r="F55">
        <f>IF(Bestellliste!H83="","",Bestellliste!H83)</f>
        <v/>
      </c>
    </row>
    <row r="56">
      <c r="A56">
        <f>Bestellliste!A84</f>
        <v/>
      </c>
      <c r="B56">
        <f>IF(Bestellliste!C84="","",IF(Bestellliste!F84="x",4*Bestellliste!C84,Bestellliste!C84))</f>
        <v/>
      </c>
      <c r="C56" s="15">
        <f>IF(Bestellliste!D84="","",Bestellliste!D84)</f>
        <v/>
      </c>
      <c r="D56" s="15">
        <f>IF(AND(ISNUMBER(B56),ISNUMBER(C56)),B56*C56,0)</f>
        <v/>
      </c>
      <c r="E56">
        <f>IF(Bestellliste!G84="","",Bestellliste!G84)</f>
        <v/>
      </c>
      <c r="F56">
        <f>IF(Bestellliste!H84="","",Bestellliste!H84)</f>
        <v/>
      </c>
    </row>
    <row r="57">
      <c r="A57">
        <f>Bestellliste!A87</f>
        <v/>
      </c>
      <c r="B57">
        <f>IF(Bestellliste!C87="","",IF(Bestellliste!F87="x",4*Bestellliste!C87,Bestellliste!C87))</f>
        <v/>
      </c>
      <c r="C57" s="15">
        <f>IF(Bestellliste!D87="","",Bestellliste!D87)</f>
        <v/>
      </c>
      <c r="D57" s="15">
        <f>IF(AND(ISNUMBER(B57),ISNUMBER(C57)),B57*C57,0)</f>
        <v/>
      </c>
      <c r="E57">
        <f>IF(Bestellliste!G87="","",Bestellliste!G87)</f>
        <v/>
      </c>
      <c r="F57">
        <f>IF(Bestellliste!H87="","",Bestellliste!H87)</f>
        <v/>
      </c>
    </row>
    <row r="58">
      <c r="A58">
        <f>Bestellliste!A88</f>
        <v/>
      </c>
      <c r="B58">
        <f>IF(Bestellliste!C88="","",IF(Bestellliste!F88="x",4*Bestellliste!C88,Bestellliste!C88))</f>
        <v/>
      </c>
      <c r="C58" s="15">
        <f>IF(Bestellliste!D88="","",Bestellliste!D88)</f>
        <v/>
      </c>
      <c r="D58" s="15">
        <f>IF(AND(ISNUMBER(B58),ISNUMBER(C58)),B58*C58,0)</f>
        <v/>
      </c>
      <c r="E58">
        <f>IF(Bestellliste!G88="","",Bestellliste!G88)</f>
        <v/>
      </c>
      <c r="F58">
        <f>IF(Bestellliste!H88="","",Bestellliste!H88)</f>
        <v/>
      </c>
    </row>
    <row r="59">
      <c r="A59">
        <f>Bestellliste!A89</f>
        <v/>
      </c>
      <c r="B59">
        <f>IF(Bestellliste!C89="","",IF(Bestellliste!F89="x",4*Bestellliste!C89,Bestellliste!C89))</f>
        <v/>
      </c>
      <c r="C59" s="15">
        <f>IF(Bestellliste!D89="","",Bestellliste!D89)</f>
        <v/>
      </c>
      <c r="D59" s="15">
        <f>IF(AND(ISNUMBER(B59),ISNUMBER(C59)),B59*C59,0)</f>
        <v/>
      </c>
      <c r="E59">
        <f>IF(Bestellliste!G89="","",Bestellliste!G89)</f>
        <v/>
      </c>
      <c r="F59">
        <f>IF(Bestellliste!H89="","",Bestellliste!H89)</f>
        <v/>
      </c>
    </row>
    <row r="60">
      <c r="A60" s="16" t="inlineStr">
        <is>
          <t>Summe DOLD</t>
        </is>
      </c>
      <c r="D60" s="15">
        <f>SUM(D14:D59)</f>
        <v/>
      </c>
    </row>
    <row r="62">
      <c r="A62" s="14" t="inlineStr">
        <is>
          <t>Motedis</t>
        </is>
      </c>
    </row>
    <row r="63">
      <c r="A63">
        <f>Bestellliste!A26</f>
        <v/>
      </c>
      <c r="B63">
        <f>IF(Bestellliste!C26="","",IF(Bestellliste!F26="x",4*Bestellliste!C26,Bestellliste!C26))</f>
        <v/>
      </c>
      <c r="C63" s="15">
        <f>IF(Bestellliste!D26="","",Bestellliste!D26)</f>
        <v/>
      </c>
      <c r="D63" s="15">
        <f>IF(AND(ISNUMBER(B63),ISNUMBER(C63)),B63*C63,0)</f>
        <v/>
      </c>
      <c r="E63">
        <f>IF(Bestellliste!G26="","",Bestellliste!G26)</f>
        <v/>
      </c>
      <c r="F63">
        <f>IF(Bestellliste!H26="","",Bestellliste!H26)</f>
        <v/>
      </c>
    </row>
    <row r="64">
      <c r="A64">
        <f>Bestellliste!A41</f>
        <v/>
      </c>
      <c r="B64">
        <f>IF(Bestellliste!C41="","",IF(Bestellliste!F41="x",4*Bestellliste!C41,Bestellliste!C41))</f>
        <v/>
      </c>
      <c r="C64" s="15">
        <f>IF(Bestellliste!D41="","",Bestellliste!D41)</f>
        <v/>
      </c>
      <c r="D64" s="15">
        <f>IF(AND(ISNUMBER(B64),ISNUMBER(C64)),B64*C64,0)</f>
        <v/>
      </c>
      <c r="E64">
        <f>IF(Bestellliste!G41="","",Bestellliste!G41)</f>
        <v/>
      </c>
      <c r="F64">
        <f>IF(Bestellliste!H41="","",Bestellliste!H41)</f>
        <v/>
      </c>
    </row>
    <row r="65">
      <c r="A65" s="16" t="inlineStr">
        <is>
          <t>Summe Motedis</t>
        </is>
      </c>
      <c r="D65" s="15">
        <f>SUM(D63:D64)</f>
        <v/>
      </c>
    </row>
    <row r="67">
      <c r="A67" s="14" t="inlineStr">
        <is>
          <t>Roboter-Bausatz</t>
        </is>
      </c>
    </row>
    <row r="68">
      <c r="A68">
        <f>Bestellliste!A50</f>
        <v/>
      </c>
      <c r="B68">
        <f>IF(Bestellliste!C50="","",IF(Bestellliste!F50="x",4*Bestellliste!C50,Bestellliste!C50))</f>
        <v/>
      </c>
      <c r="C68" s="15">
        <f>IF(Bestellliste!D50="","",Bestellliste!D50)</f>
        <v/>
      </c>
      <c r="D68" s="15">
        <f>IF(AND(ISNUMBER(B68),ISNUMBER(C68)),B68*C68,0)</f>
        <v/>
      </c>
      <c r="E68">
        <f>IF(Bestellliste!G50="","",Bestellliste!G50)</f>
        <v/>
      </c>
      <c r="F68">
        <f>IF(Bestellliste!H50="","",Bestellliste!H50)</f>
        <v/>
      </c>
    </row>
    <row r="69">
      <c r="A69">
        <f>Bestellliste!A51</f>
        <v/>
      </c>
      <c r="B69">
        <f>IF(Bestellliste!C51="","",IF(Bestellliste!F51="x",4*Bestellliste!C51,Bestellliste!C51))</f>
        <v/>
      </c>
      <c r="C69" s="15">
        <f>IF(Bestellliste!D51="","",Bestellliste!D51)</f>
        <v/>
      </c>
      <c r="D69" s="15">
        <f>IF(AND(ISNUMBER(B69),ISNUMBER(C69)),B69*C69,0)</f>
        <v/>
      </c>
      <c r="E69">
        <f>IF(Bestellliste!G51="","",Bestellliste!G51)</f>
        <v/>
      </c>
      <c r="F69">
        <f>IF(Bestellliste!H51="","",Bestellliste!H51)</f>
        <v/>
      </c>
    </row>
    <row r="70">
      <c r="A70" s="16" t="inlineStr">
        <is>
          <t>Summe Roboter-Bausatz</t>
        </is>
      </c>
      <c r="D70" s="15">
        <f>SUM(D68:D69)</f>
        <v/>
      </c>
    </row>
    <row r="72">
      <c r="A72" s="14" t="inlineStr">
        <is>
          <t>StepperOnline</t>
        </is>
      </c>
    </row>
    <row r="73">
      <c r="A73">
        <f>Bestellliste!A22</f>
        <v/>
      </c>
      <c r="B73">
        <f>IF(Bestellliste!C22="","",IF(Bestellliste!F22="x",4*Bestellliste!C22,Bestellliste!C22))</f>
        <v/>
      </c>
      <c r="C73" s="15">
        <f>IF(Bestellliste!D22="","",Bestellliste!D22)</f>
        <v/>
      </c>
      <c r="D73" s="15">
        <f>IF(AND(ISNUMBER(B73),ISNUMBER(C73)),B73*C73,0)</f>
        <v/>
      </c>
      <c r="E73">
        <f>IF(Bestellliste!G22="","",Bestellliste!G22)</f>
        <v/>
      </c>
      <c r="F73">
        <f>IF(Bestellliste!H22="","",Bestellliste!H22)</f>
        <v/>
      </c>
    </row>
    <row r="74">
      <c r="A74">
        <f>Bestellliste!A29</f>
        <v/>
      </c>
      <c r="B74">
        <f>IF(Bestellliste!C29="","",IF(Bestellliste!F29="x",4*Bestellliste!C29,Bestellliste!C29))</f>
        <v/>
      </c>
      <c r="C74" s="15">
        <f>IF(Bestellliste!D29="","",Bestellliste!D29)</f>
        <v/>
      </c>
      <c r="D74" s="15">
        <f>IF(AND(ISNUMBER(B74),ISNUMBER(C74)),B74*C74,0)</f>
        <v/>
      </c>
      <c r="E74">
        <f>IF(Bestellliste!G29="","",Bestellliste!G29)</f>
        <v/>
      </c>
      <c r="F74">
        <f>IF(Bestellliste!H29="","",Bestellliste!H29)</f>
        <v/>
      </c>
    </row>
    <row r="75">
      <c r="A75">
        <f>Bestellliste!A37</f>
        <v/>
      </c>
      <c r="B75">
        <f>IF(Bestellliste!C37="","",IF(Bestellliste!F37="x",4*Bestellliste!C37,Bestellliste!C37))</f>
        <v/>
      </c>
      <c r="C75" s="15">
        <f>IF(Bestellliste!D37="","",Bestellliste!D37)</f>
        <v/>
      </c>
      <c r="D75" s="15">
        <f>IF(AND(ISNUMBER(B75),ISNUMBER(C75)),B75*C75,0)</f>
        <v/>
      </c>
      <c r="E75">
        <f>IF(Bestellliste!G37="","",Bestellliste!G37)</f>
        <v/>
      </c>
      <c r="F75">
        <f>IF(Bestellliste!H37="","",Bestellliste!H37)</f>
        <v/>
      </c>
    </row>
    <row r="76">
      <c r="A76" s="16" t="inlineStr">
        <is>
          <t>Summe StepperOnline</t>
        </is>
      </c>
      <c r="D76" s="15">
        <f>SUM(D73:D75)</f>
        <v/>
      </c>
    </row>
    <row r="78">
      <c r="A78" s="14" t="inlineStr">
        <is>
          <t>Voelkner</t>
        </is>
      </c>
    </row>
    <row r="79">
      <c r="A79">
        <f>Bestellliste!A43</f>
        <v/>
      </c>
      <c r="B79">
        <f>IF(Bestellliste!C43="","",IF(Bestellliste!F43="x",4*Bestellliste!C43,Bestellliste!C43))</f>
        <v/>
      </c>
      <c r="C79" s="15">
        <f>IF(Bestellliste!D43="","",Bestellliste!D43)</f>
        <v/>
      </c>
      <c r="D79" s="15">
        <f>IF(AND(ISNUMBER(B79),ISNUMBER(C79)),B79*C79,0)</f>
        <v/>
      </c>
      <c r="E79">
        <f>IF(Bestellliste!G43="","",Bestellliste!G43)</f>
        <v/>
      </c>
      <c r="F79">
        <f>IF(Bestellliste!H43="","",Bestellliste!H43)</f>
        <v/>
      </c>
    </row>
    <row r="80">
      <c r="A80" s="16" t="inlineStr">
        <is>
          <t>Summe Voelkner</t>
        </is>
      </c>
      <c r="D80" s="15">
        <f>SUM(D79:D79)</f>
        <v/>
      </c>
    </row>
    <row r="82">
      <c r="A82" s="14" t="inlineStr">
        <is>
          <t>Werkstatt</t>
        </is>
      </c>
    </row>
    <row r="83">
      <c r="A83">
        <f>Bestellliste!A16</f>
        <v/>
      </c>
      <c r="B83">
        <f>IF(Bestellliste!C16="","",IF(Bestellliste!F16="x",4*Bestellliste!C16,Bestellliste!C16))</f>
        <v/>
      </c>
      <c r="C83" s="15">
        <f>IF(Bestellliste!D16="","",Bestellliste!D16)</f>
        <v/>
      </c>
      <c r="D83" s="15">
        <f>IF(AND(ISNUMBER(B83),ISNUMBER(C83)),B83*C83,0)</f>
        <v/>
      </c>
      <c r="E83">
        <f>IF(Bestellliste!G16="","",Bestellliste!G16)</f>
        <v/>
      </c>
      <c r="F83">
        <f>IF(Bestellliste!H16="","",Bestellliste!H16)</f>
        <v/>
      </c>
    </row>
    <row r="84">
      <c r="A84">
        <f>Bestellliste!A28</f>
        <v/>
      </c>
      <c r="B84">
        <f>IF(Bestellliste!C28="","",IF(Bestellliste!F28="x",4*Bestellliste!C28,Bestellliste!C28))</f>
        <v/>
      </c>
      <c r="C84" s="15">
        <f>IF(Bestellliste!D28="","",Bestellliste!D28)</f>
        <v/>
      </c>
      <c r="D84" s="15">
        <f>IF(AND(ISNUMBER(B84),ISNUMBER(C84)),B84*C84,0)</f>
        <v/>
      </c>
      <c r="E84">
        <f>IF(Bestellliste!G28="","",Bestellliste!G28)</f>
        <v/>
      </c>
      <c r="F84">
        <f>IF(Bestellliste!H28="","",Bestellliste!H28)</f>
        <v/>
      </c>
    </row>
    <row r="85">
      <c r="A85" s="16" t="inlineStr">
        <is>
          <t>Summe Werkstatt</t>
        </is>
      </c>
      <c r="D85" s="15">
        <f>SUM(D83:D84)</f>
        <v/>
      </c>
    </row>
    <row r="87">
      <c r="A87" s="14" t="inlineStr">
        <is>
          <t>igus</t>
        </is>
      </c>
    </row>
    <row r="88">
      <c r="A88">
        <f>Bestellliste!A56</f>
        <v/>
      </c>
      <c r="B88">
        <f>IF(Bestellliste!C56="","",IF(Bestellliste!F56="x",4*Bestellliste!C56,Bestellliste!C56))</f>
        <v/>
      </c>
      <c r="C88" s="15">
        <f>IF(Bestellliste!D56="","",Bestellliste!D56)</f>
        <v/>
      </c>
      <c r="D88" s="15">
        <f>IF(AND(ISNUMBER(B88),ISNUMBER(C88)),B88*C88,0)</f>
        <v/>
      </c>
      <c r="E88">
        <f>IF(Bestellliste!G56="","",Bestellliste!G56)</f>
        <v/>
      </c>
      <c r="F88">
        <f>IF(Bestellliste!H56="","",Bestellliste!H56)</f>
        <v/>
      </c>
    </row>
    <row r="89">
      <c r="A89">
        <f>Bestellliste!A57</f>
        <v/>
      </c>
      <c r="B89">
        <f>IF(Bestellliste!C57="","",IF(Bestellliste!F57="x",4*Bestellliste!C57,Bestellliste!C57))</f>
        <v/>
      </c>
      <c r="C89" s="15">
        <f>IF(Bestellliste!D57="","",Bestellliste!D57)</f>
        <v/>
      </c>
      <c r="D89" s="15">
        <f>IF(AND(ISNUMBER(B89),ISNUMBER(C89)),B89*C89,0)</f>
        <v/>
      </c>
      <c r="E89">
        <f>IF(Bestellliste!G57="","",Bestellliste!G57)</f>
        <v/>
      </c>
      <c r="F89">
        <f>IF(Bestellliste!H57="","",Bestellliste!H57)</f>
        <v/>
      </c>
    </row>
    <row r="90">
      <c r="A90" s="16" t="inlineStr">
        <is>
          <t>Summe igus</t>
        </is>
      </c>
      <c r="D90" s="15">
        <f>SUM(D88:D89)</f>
        <v/>
      </c>
    </row>
    <row r="92">
      <c r="A92" s="14" t="inlineStr">
        <is>
          <t>ohne Shop (noch offen)</t>
        </is>
      </c>
    </row>
    <row r="93">
      <c r="A93">
        <f>Bestellliste!A15</f>
        <v/>
      </c>
      <c r="B93">
        <f>IF(Bestellliste!C15="","",IF(Bestellliste!F15="x",4*Bestellliste!C15,Bestellliste!C15))</f>
        <v/>
      </c>
      <c r="C93" s="15">
        <f>IF(Bestellliste!D15="","",Bestellliste!D15)</f>
        <v/>
      </c>
      <c r="D93" s="15">
        <f>IF(AND(ISNUMBER(B93),ISNUMBER(C93)),B93*C93,0)</f>
        <v/>
      </c>
      <c r="E93">
        <f>IF(Bestellliste!G15="","",Bestellliste!G15)</f>
        <v/>
      </c>
      <c r="F93">
        <f>IF(Bestellliste!H15="","",Bestellliste!H15)</f>
        <v/>
      </c>
    </row>
    <row r="94">
      <c r="A94">
        <f>Bestellliste!A47</f>
        <v/>
      </c>
      <c r="B94">
        <f>IF(Bestellliste!C47="","",IF(Bestellliste!F47="x",4*Bestellliste!C47,Bestellliste!C47))</f>
        <v/>
      </c>
      <c r="C94" s="15">
        <f>IF(Bestellliste!D47="","",Bestellliste!D47)</f>
        <v/>
      </c>
      <c r="D94" s="15">
        <f>IF(AND(ISNUMBER(B94),ISNUMBER(C94)),B94*C94,0)</f>
        <v/>
      </c>
      <c r="E94">
        <f>IF(Bestellliste!G47="","",Bestellliste!G47)</f>
        <v/>
      </c>
      <c r="F94">
        <f>IF(Bestellliste!H47="","",Bestellliste!H47)</f>
        <v/>
      </c>
    </row>
    <row r="95">
      <c r="A95">
        <f>Bestellliste!A53</f>
        <v/>
      </c>
      <c r="B95">
        <f>IF(Bestellliste!C53="","",IF(Bestellliste!F53="x",4*Bestellliste!C53,Bestellliste!C53))</f>
        <v/>
      </c>
      <c r="C95" s="15">
        <f>IF(Bestellliste!D53="","",Bestellliste!D53)</f>
        <v/>
      </c>
      <c r="D95" s="15">
        <f>IF(AND(ISNUMBER(B95),ISNUMBER(C95)),B95*C95,0)</f>
        <v/>
      </c>
      <c r="E95">
        <f>IF(Bestellliste!G53="","",Bestellliste!G53)</f>
        <v/>
      </c>
      <c r="F95">
        <f>IF(Bestellliste!H53="","",Bestellliste!H53)</f>
        <v/>
      </c>
    </row>
    <row r="96">
      <c r="A96">
        <f>Bestellliste!A54</f>
        <v/>
      </c>
      <c r="B96">
        <f>IF(Bestellliste!C54="","",IF(Bestellliste!F54="x",4*Bestellliste!C54,Bestellliste!C54))</f>
        <v/>
      </c>
      <c r="C96" s="15">
        <f>IF(Bestellliste!D54="","",Bestellliste!D54)</f>
        <v/>
      </c>
      <c r="D96" s="15">
        <f>IF(AND(ISNUMBER(B96),ISNUMBER(C96)),B96*C96,0)</f>
        <v/>
      </c>
      <c r="E96">
        <f>IF(Bestellliste!G54="","",Bestellliste!G54)</f>
        <v/>
      </c>
      <c r="F96">
        <f>IF(Bestellliste!H54="","",Bestellliste!H54)</f>
        <v/>
      </c>
    </row>
    <row r="97">
      <c r="A97">
        <f>Bestellliste!A55</f>
        <v/>
      </c>
      <c r="B97">
        <f>IF(Bestellliste!C55="","",IF(Bestellliste!F55="x",4*Bestellliste!C55,Bestellliste!C55))</f>
        <v/>
      </c>
      <c r="C97" s="15">
        <f>IF(Bestellliste!D55="","",Bestellliste!D55)</f>
        <v/>
      </c>
      <c r="D97" s="15">
        <f>IF(AND(ISNUMBER(B97),ISNUMBER(C97)),B97*C97,0)</f>
        <v/>
      </c>
      <c r="E97">
        <f>IF(Bestellliste!G55="","",Bestellliste!G55)</f>
        <v/>
      </c>
      <c r="F97">
        <f>IF(Bestellliste!H55="","",Bestellliste!H55)</f>
        <v/>
      </c>
    </row>
    <row r="98">
      <c r="A98">
        <f>Bestellliste!A58</f>
        <v/>
      </c>
      <c r="B98">
        <f>IF(Bestellliste!C58="","",IF(Bestellliste!F58="x",4*Bestellliste!C58,Bestellliste!C58))</f>
        <v/>
      </c>
      <c r="C98" s="15">
        <f>IF(Bestellliste!D58="","",Bestellliste!D58)</f>
        <v/>
      </c>
      <c r="D98" s="15">
        <f>IF(AND(ISNUMBER(B98),ISNUMBER(C98)),B98*C98,0)</f>
        <v/>
      </c>
      <c r="E98">
        <f>IF(Bestellliste!G58="","",Bestellliste!G58)</f>
        <v/>
      </c>
      <c r="F98">
        <f>IF(Bestellliste!H58="","",Bestellliste!H58)</f>
        <v/>
      </c>
    </row>
    <row r="99">
      <c r="A99">
        <f>Bestellliste!A59</f>
        <v/>
      </c>
      <c r="B99">
        <f>IF(Bestellliste!C59="","",IF(Bestellliste!F59="x",4*Bestellliste!C59,Bestellliste!C59))</f>
        <v/>
      </c>
      <c r="C99" s="15">
        <f>IF(Bestellliste!D59="","",Bestellliste!D59)</f>
        <v/>
      </c>
      <c r="D99" s="15">
        <f>IF(AND(ISNUMBER(B99),ISNUMBER(C99)),B99*C99,0)</f>
        <v/>
      </c>
      <c r="E99">
        <f>IF(Bestellliste!G59="","",Bestellliste!G59)</f>
        <v/>
      </c>
      <c r="F99">
        <f>IF(Bestellliste!H59="","",Bestellliste!H59)</f>
        <v/>
      </c>
    </row>
    <row r="100">
      <c r="A100">
        <f>Bestellliste!A85</f>
        <v/>
      </c>
      <c r="B100">
        <f>IF(Bestellliste!C85="","",IF(Bestellliste!F85="x",4*Bestellliste!C85,Bestellliste!C85))</f>
        <v/>
      </c>
      <c r="C100" s="15">
        <f>IF(Bestellliste!D85="","",Bestellliste!D85)</f>
        <v/>
      </c>
      <c r="D100" s="15">
        <f>IF(AND(ISNUMBER(B100),ISNUMBER(C100)),B100*C100,0)</f>
        <v/>
      </c>
      <c r="E100">
        <f>IF(Bestellliste!G85="","",Bestellliste!G85)</f>
        <v/>
      </c>
      <c r="F100">
        <f>IF(Bestellliste!H85="","",Bestellliste!H85)</f>
        <v/>
      </c>
    </row>
    <row r="101">
      <c r="A101">
        <f>Bestellliste!A86</f>
        <v/>
      </c>
      <c r="B101">
        <f>IF(Bestellliste!C86="","",IF(Bestellliste!F86="x",4*Bestellliste!C86,Bestellliste!C86))</f>
        <v/>
      </c>
      <c r="C101" s="15">
        <f>IF(Bestellliste!D86="","",Bestellliste!D86)</f>
        <v/>
      </c>
      <c r="D101" s="15">
        <f>IF(AND(ISNUMBER(B101),ISNUMBER(C101)),B101*C101,0)</f>
        <v/>
      </c>
      <c r="E101">
        <f>IF(Bestellliste!G86="","",Bestellliste!G86)</f>
        <v/>
      </c>
      <c r="F101">
        <f>IF(Bestellliste!H86="","",Bestellliste!H86)</f>
        <v/>
      </c>
    </row>
    <row r="102">
      <c r="A102" s="16" t="inlineStr">
        <is>
          <t>Summe ohne Shop (noch offen)</t>
        </is>
      </c>
      <c r="D102" s="15">
        <f>SUM(D93:D101)</f>
        <v/>
      </c>
    </row>
    <row r="104">
      <c r="A104" s="14" t="inlineStr">
        <is>
          <t>Gesamt Vollausbau inkl. MwSt.</t>
        </is>
      </c>
      <c r="D104" s="17">
        <f>D11+D60+D65+D70+D76+D80+D85+D90+D102</f>
        <v/>
      </c>
    </row>
    <row r="106">
      <c r="A106" t="inlineStr">
        <is>
          <t>Werte sind mit dem Blatt „Bestellliste“ verknüpft; Status dort in Spalte H pflegen.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2026-10-27T14:09:38Z</dcterms:created>
  <dcterms:modified xsi:type="dcterms:W3CDTF">2026-10-27T14:23:13Z</dcterms:modified>
  <cp:lastModifiedBy>luis Kremer</cp:lastModifiedBy>
</cp:coreProperties>
</file>