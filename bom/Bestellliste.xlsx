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50" yWindow="1815" windowWidth="16410" windowHeight="17745" tabRatio="600" firstSheet="0" activeTab="0" autoFilterDateGrouping="1"/>
  </bookViews>
  <sheets>
    <sheet name="BOM" sheetId="1" state="visible" r:id="rId1"/>
    <sheet name="BOM_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Liberation Sans"/>
      <color theme="1"/>
      <sz val="10"/>
    </font>
    <font>
      <name val="Liberation Sans"/>
      <color theme="1"/>
      <sz val="10"/>
    </font>
    <font>
      <name val="Liberation Sans"/>
      <b val="1"/>
      <color rgb="FF000000"/>
      <sz val="10"/>
    </font>
    <font>
      <name val="Liberation Sans"/>
      <color rgb="FFFFFFFF"/>
      <sz val="10"/>
    </font>
    <font>
      <name val="Liberation Sans"/>
      <color rgb="FFCC0000"/>
      <sz val="10"/>
    </font>
    <font>
      <name val="Liberation Sans"/>
      <b val="1"/>
      <color rgb="FFFFFFFF"/>
      <sz val="10"/>
    </font>
    <font>
      <name val="Liberation Sans"/>
      <i val="1"/>
      <color rgb="FF808080"/>
      <sz val="10"/>
    </font>
    <font>
      <name val="Liberation Sans"/>
      <color rgb="FF006600"/>
      <sz val="10"/>
    </font>
    <font>
      <name val="Liberation Sans"/>
      <b val="1"/>
      <color rgb="FF000000"/>
      <sz val="24"/>
    </font>
    <font>
      <name val="Liberation Sans"/>
      <color rgb="FF000000"/>
      <sz val="18"/>
    </font>
    <font>
      <name val="Liberation Sans"/>
      <color rgb="FF000000"/>
      <sz val="12"/>
    </font>
    <font>
      <name val="Liberation Sans"/>
      <color rgb="FF0000EE"/>
      <sz val="10"/>
      <u val="single"/>
    </font>
    <font>
      <name val="Liberation Sans"/>
      <color rgb="FF996600"/>
      <sz val="10"/>
    </font>
    <font>
      <name val="Liberation Sans"/>
      <color rgb="FF333333"/>
      <sz val="10"/>
    </font>
    <font>
      <name val="Liberation Sans"/>
      <b val="1"/>
      <i val="1"/>
      <color theme="1"/>
      <sz val="10"/>
      <u val="single"/>
    </font>
    <font>
      <name val="Liberation Sans"/>
      <b val="1"/>
      <color theme="1"/>
      <sz val="14"/>
    </font>
    <font>
      <name val="Liberation Sans"/>
      <b val="1"/>
      <color theme="1"/>
      <sz val="10"/>
    </font>
    <font>
      <name val="Liberation Sans"/>
      <b val="1"/>
      <color theme="1"/>
      <sz val="12"/>
    </font>
    <font>
      <name val="Liberation Serif"/>
      <color theme="1"/>
      <sz val="10"/>
    </font>
    <font>
      <name val="Liberation Serif"/>
      <b val="1"/>
      <color theme="1"/>
      <sz val="10"/>
    </font>
    <font>
      <name val="Liberation Sans"/>
      <b val="1"/>
      <sz val="10"/>
    </font>
    <font>
      <name val="Liberation Sans"/>
      <sz val="10"/>
    </font>
  </fonts>
  <fills count="1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4EA6B"/>
        <bgColor rgb="FFD4EA6B"/>
      </patternFill>
    </fill>
    <fill>
      <patternFill patternType="solid">
        <fgColor rgb="FFB4C7DC"/>
        <bgColor rgb="FFB4C7DC"/>
      </patternFill>
    </fill>
    <fill>
      <patternFill patternType="solid">
        <fgColor rgb="FFFCD3C1"/>
        <bgColor rgb="FFFCD3C1"/>
      </patternFill>
    </fill>
    <fill>
      <patternFill patternType="solid">
        <fgColor rgb="FF069A2E"/>
        <bgColor rgb="FF069A2E"/>
      </patternFill>
    </fill>
    <fill>
      <patternFill patternType="solid">
        <fgColor rgb="FFFF5429"/>
        <bgColor rgb="FFFF5429"/>
      </patternFill>
    </fill>
    <fill>
      <patternFill patternType="solid">
        <fgColor rgb="FF999999"/>
        <bgColor rgb="FF999999"/>
      </patternFill>
    </fill>
    <fill>
      <patternFill patternType="solid">
        <fgColor rgb="FFA1467E"/>
        <bgColor rgb="FFA1467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</borders>
  <cellStyleXfs count="20">
    <xf numFmtId="0" fontId="1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49">
    <xf numFmtId="0" fontId="0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0" fillId="9" borderId="0" pivotButton="0" quotePrefix="0" xfId="0"/>
    <xf numFmtId="0" fontId="0" fillId="0" borderId="0" applyAlignment="1" pivotButton="0" quotePrefix="0" xfId="0">
      <alignment horizontal="center"/>
    </xf>
    <xf numFmtId="0" fontId="0" fillId="10" borderId="0" pivotButton="0" quotePrefix="0" xfId="0"/>
    <xf numFmtId="0" fontId="18" fillId="0" borderId="0" applyAlignment="1" pivotButton="0" quotePrefix="0" xfId="0">
      <alignment horizontal="center" wrapText="1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4" fontId="0" fillId="0" borderId="0" applyAlignment="1" pivotButton="0" quotePrefix="0" xfId="0">
      <alignment horizontal="center"/>
    </xf>
    <xf numFmtId="0" fontId="0" fillId="14" borderId="0" pivotButton="0" quotePrefix="0" xfId="0"/>
    <xf numFmtId="0" fontId="0" fillId="15" borderId="0" pivotButton="0" quotePrefix="0" xfId="0"/>
    <xf numFmtId="0" fontId="0" fillId="14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16" fillId="0" borderId="0" applyAlignment="1" pivotButton="0" quotePrefix="0" xfId="0">
      <alignment horizontal="center"/>
    </xf>
    <xf numFmtId="4" fontId="16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20" fillId="0" borderId="0" pivotButton="0" quotePrefix="0" xfId="0"/>
    <xf numFmtId="0" fontId="21" fillId="16" borderId="0" applyAlignment="1" pivotButton="0" quotePrefix="0" xfId="0">
      <alignment vertical="center"/>
    </xf>
    <xf numFmtId="0" fontId="21" fillId="17" borderId="0" applyAlignment="1" pivotButton="0" quotePrefix="0" xfId="0">
      <alignment vertical="center"/>
    </xf>
    <xf numFmtId="0" fontId="21" fillId="18" borderId="0" applyAlignment="1" pivotButton="0" quotePrefix="0" xfId="0">
      <alignment vertical="center"/>
    </xf>
  </cellXfs>
  <cellStyles count="20">
    <cellStyle name="Standard" xfId="0" builtinId="0"/>
    <cellStyle name="Neutral" xfId="1" builtinId="28"/>
    <cellStyle name="Accent" xfId="2"/>
    <cellStyle name="Accent 1" xfId="3"/>
    <cellStyle name="Accent 2" xfId="4"/>
    <cellStyle name="Accent 3" xfId="5"/>
    <cellStyle name="Bad" xfId="6"/>
    <cellStyle name="Default" xfId="7"/>
    <cellStyle name="Error" xfId="8"/>
    <cellStyle name="Footnote" xfId="9"/>
    <cellStyle name="Good" xfId="10"/>
    <cellStyle name="Heading" xfId="11"/>
    <cellStyle name="Heading 1" xfId="12"/>
    <cellStyle name="Heading 2" xfId="13"/>
    <cellStyle name="Hyperlink" xfId="14"/>
    <cellStyle name="Note" xfId="15"/>
    <cellStyle name="Result" xfId="16"/>
    <cellStyle name="Status" xfId="17"/>
    <cellStyle name="Text" xfId="18"/>
    <cellStyle name="Warning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4"/>
  <sheetViews>
    <sheetView tabSelected="1" workbookViewId="0">
      <selection activeCell="A1" sqref="A1"/>
    </sheetView>
  </sheetViews>
  <sheetFormatPr baseColWidth="10" defaultRowHeight="12.75"/>
  <cols>
    <col width="54" customWidth="1" style="40" min="1" max="1"/>
    <col width="48" customWidth="1" style="38" min="2" max="2"/>
    <col width="7.42578125" customWidth="1" style="38" min="3" max="3"/>
    <col width="7.42578125" customWidth="1" style="38" min="4" max="4"/>
    <col width="19.7109375" customWidth="1" style="38" min="5" max="5"/>
    <col width="26.28515625" customWidth="1" style="38" min="6" max="6"/>
    <col width="8.7109375" customWidth="1" style="40" min="7" max="7"/>
    <col width="66.42578125" customWidth="1" style="40" min="8" max="8"/>
    <col width="137.5703125" customWidth="1" style="40" min="9" max="64"/>
    <col width="12.140625" customWidth="1" style="40" min="10" max="10"/>
  </cols>
  <sheetData>
    <row r="1" ht="18" customHeight="1" s="40">
      <c r="A1" s="1" t="inlineStr">
        <is>
          <t>BOM PCB-Probe V1.0</t>
        </is>
      </c>
      <c r="C1" s="2" t="n"/>
    </row>
    <row r="2" ht="18" customHeight="1" s="40">
      <c r="A2" s="1" t="n"/>
      <c r="C2" s="2" t="n"/>
    </row>
    <row r="3">
      <c r="A3" s="28" t="inlineStr">
        <is>
          <t>Teil</t>
        </is>
      </c>
      <c r="B3" s="45" t="inlineStr">
        <is>
          <t>DOLD-Angebot AN2026-104489</t>
        </is>
      </c>
      <c r="C3" s="30" t="n"/>
      <c r="D3" s="30" t="inlineStr">
        <is>
          <t>Menge</t>
        </is>
      </c>
      <c r="E3" s="30" t="inlineStr">
        <is>
          <t>Preis inkl. Mwst. In €</t>
        </is>
      </c>
      <c r="F3" s="30" t="inlineStr">
        <is>
          <t>Gesamtpreis inkl. Mwst. In €</t>
        </is>
      </c>
      <c r="G3" s="30" t="inlineStr">
        <is>
          <t>je Probe</t>
        </is>
      </c>
      <c r="H3" s="28" t="inlineStr">
        <is>
          <t>Anmerkung</t>
        </is>
      </c>
      <c r="I3" s="28" t="inlineStr">
        <is>
          <t>Link</t>
        </is>
      </c>
    </row>
    <row r="5" ht="15.75" customHeight="1" s="40">
      <c r="A5" s="8" t="inlineStr">
        <is>
          <t>Gestell</t>
        </is>
      </c>
      <c r="C5" s="9" t="n"/>
    </row>
    <row r="6">
      <c r="A6" s="10" t="inlineStr">
        <is>
          <t>Gelenkfuß M6x20, Teller 40mm mit Ant-Slip-Platte</t>
        </is>
      </c>
      <c r="B6" s="46" t="inlineStr">
        <is>
          <t>ja – Pos 1 GF-K-10-PA-032</t>
        </is>
      </c>
      <c r="C6" s="38" t="inlineStr">
        <is>
          <t>x</t>
        </is>
      </c>
      <c r="D6" s="38" t="n">
        <v>4</v>
      </c>
      <c r="E6" s="38" t="n">
        <v>1.83</v>
      </c>
      <c r="F6" s="38">
        <f>D6*E6</f>
        <v/>
      </c>
      <c r="G6" s="38" t="n"/>
      <c r="I6" t="inlineStr">
        <is>
          <t>https://www.dold-mechatronik.de/Gelenkfuss-Reihe-10-PA-Gewindestange-mit-Kugel-10mm-M6x20-Schluesselweite-10-Teller-40mm-mit-Anti-Slip-Platte-40-d385</t>
        </is>
      </c>
    </row>
    <row r="7">
      <c r="A7" s="10" t="inlineStr">
        <is>
          <t>Winkel 30 I-Typ inkl. Befestigungssatz</t>
        </is>
      </c>
      <c r="B7" s="46" t="inlineStr">
        <is>
          <t>ja – Pos 2 62392-BSA</t>
        </is>
      </c>
      <c r="C7" s="38" t="inlineStr">
        <is>
          <t>x</t>
        </is>
      </c>
      <c r="D7" s="38" t="n">
        <v>22</v>
      </c>
      <c r="E7" s="38" t="n">
        <v>1.91</v>
      </c>
      <c r="F7" s="38">
        <f>D7*E7</f>
        <v/>
      </c>
      <c r="G7" s="38" t="n"/>
      <c r="I7" t="inlineStr">
        <is>
          <t>https://www.dold-mechatronik.de/Winkel-30-I-Typ-Nut-6-inkl-Befestigungssatz-und-Abdeckkappe</t>
        </is>
      </c>
    </row>
    <row r="8">
      <c r="A8" s="10" t="inlineStr">
        <is>
          <t>Bügelgriff 100mm mit Befestigungsbohrungen</t>
        </is>
      </c>
      <c r="B8" s="46" t="inlineStr">
        <is>
          <t>ja – Pos 3 A-75873</t>
        </is>
      </c>
      <c r="C8" s="38" t="inlineStr">
        <is>
          <t>x</t>
        </is>
      </c>
      <c r="D8" s="38" t="n">
        <v>1</v>
      </c>
      <c r="E8" s="38" t="n">
        <v>8.51</v>
      </c>
      <c r="F8" s="38">
        <f>D8*E8</f>
        <v/>
      </c>
      <c r="G8" s="38" t="n"/>
      <c r="I8" t="inlineStr">
        <is>
          <t>https://www.dold-mechatronik.de/Buegelgriff-100mm-mit-Befestigungsbohrungen</t>
        </is>
      </c>
    </row>
    <row r="9">
      <c r="A9" s="10" t="inlineStr">
        <is>
          <t>Zylinderschraube DIN912, M6x20</t>
        </is>
      </c>
      <c r="B9" s="46" t="inlineStr">
        <is>
          <t>ja – Pos 4 DIN912-6x20</t>
        </is>
      </c>
      <c r="C9" s="38" t="inlineStr">
        <is>
          <t>x</t>
        </is>
      </c>
      <c r="D9" s="38" t="n">
        <v>2</v>
      </c>
      <c r="E9" s="38" t="n">
        <v>0.14</v>
      </c>
      <c r="F9" s="38" t="n">
        <v>1.14</v>
      </c>
      <c r="G9" s="38" t="n"/>
      <c r="I9" t="inlineStr">
        <is>
          <t>https://www.dold-mechatronik.de/DIN-912-Zylinderschraube-mit-Innensechskant-88-verzinkt-M6x20</t>
        </is>
      </c>
    </row>
    <row r="10">
      <c r="A10" s="12" t="inlineStr">
        <is>
          <t>Teleskopauszug TS-A 514613-350mm mit Arretierung</t>
        </is>
      </c>
      <c r="B10" s="47" t="inlineStr">
        <is>
          <t>nein</t>
        </is>
      </c>
      <c r="C10" s="38" t="inlineStr">
        <is>
          <t>x</t>
        </is>
      </c>
      <c r="D10" s="38" t="n">
        <v>1</v>
      </c>
      <c r="E10" s="38" t="n">
        <v>12.5</v>
      </c>
      <c r="F10" s="38">
        <f>D10*E10</f>
        <v/>
      </c>
      <c r="G10" s="38" t="n"/>
      <c r="I10" t="inlineStr">
        <is>
          <t>https://www.teleskopschienen24.de/vollauszug-tsaa-514613-350mm</t>
        </is>
      </c>
    </row>
    <row r="11">
      <c r="A11" s="10" t="inlineStr">
        <is>
          <t>Senkschraube mit Innensechskant M5x16</t>
        </is>
      </c>
      <c r="B11" s="46" t="inlineStr">
        <is>
          <t>ja – Pos 5 DIN7991-5x16</t>
        </is>
      </c>
      <c r="C11" s="38" t="inlineStr">
        <is>
          <t>x</t>
        </is>
      </c>
      <c r="D11" s="38" t="n">
        <v>10</v>
      </c>
      <c r="E11" s="38" t="n">
        <v>0.25</v>
      </c>
      <c r="F11" s="38">
        <f>D11*E11</f>
        <v/>
      </c>
      <c r="G11" s="38" t="n"/>
      <c r="I11" t="inlineStr">
        <is>
          <t>https://www.dold-mechatronik.de/DIN-7991-Senkschraube-mit-Innensechskant-88-verzinkt-M5x16</t>
        </is>
      </c>
    </row>
    <row r="12">
      <c r="A12" s="10" t="inlineStr">
        <is>
          <t>Nutenstein Nut6, M5</t>
        </is>
      </c>
      <c r="B12" s="46" t="inlineStr">
        <is>
          <t>ja – Pos 6 62361-VK</t>
        </is>
      </c>
      <c r="C12" s="38" t="inlineStr">
        <is>
          <t>x</t>
        </is>
      </c>
      <c r="D12" s="38" t="n">
        <v>10</v>
      </c>
      <c r="E12" s="38" t="n">
        <v>0.39</v>
      </c>
      <c r="F12" s="38">
        <f>D12*E12</f>
        <v/>
      </c>
      <c r="G12" s="38" t="n"/>
      <c r="I12" t="inlineStr">
        <is>
          <t>https://www.dold-mechatronik.de/Nutenstein-mit-Steg-I-Typ-Nut-6-Gewindedurchmesser-M5</t>
        </is>
      </c>
    </row>
    <row r="13">
      <c r="E13" s="38" t="n"/>
      <c r="F13" s="38" t="n"/>
      <c r="G13" s="38" t="n"/>
    </row>
    <row r="14">
      <c r="A14" s="10" t="inlineStr">
        <is>
          <t>Aluprofil I-Typ 30x60x650</t>
        </is>
      </c>
      <c r="B14" s="46" t="inlineStr">
        <is>
          <t>ja – Pos 7 63016-Z (30x60L)</t>
        </is>
      </c>
      <c r="C14" s="38" t="inlineStr">
        <is>
          <t>x</t>
        </is>
      </c>
      <c r="D14" s="38" t="n">
        <v>2</v>
      </c>
      <c r="E14" s="38" t="n">
        <v>11.35</v>
      </c>
      <c r="F14" s="38">
        <f>D14*E14</f>
        <v/>
      </c>
      <c r="G14" s="38" t="n"/>
      <c r="H14" t="inlineStr">
        <is>
          <t>Balken für X-Führung</t>
        </is>
      </c>
      <c r="I14" t="inlineStr">
        <is>
          <t>https://www.dold-mechatronik.de/Aluminiumprofil-30x60L-I-Typ-Nut-6-ZUSCHNITT-bis-1200-mm-1700-EUR-m-030-EUR-pro-Schnitt</t>
        </is>
      </c>
    </row>
    <row r="15">
      <c r="A15" s="10" t="inlineStr">
        <is>
          <t>Aluprofil I-Typ 30x30x350</t>
        </is>
      </c>
      <c r="B15" s="46" t="inlineStr">
        <is>
          <t>ja – Pos 8 63009-Z</t>
        </is>
      </c>
      <c r="C15" s="38" t="inlineStr">
        <is>
          <t>x</t>
        </is>
      </c>
      <c r="D15" s="38" t="n">
        <v>10</v>
      </c>
      <c r="E15" s="38" t="n">
        <v>3.23</v>
      </c>
      <c r="F15" s="38">
        <f>D15*E15</f>
        <v/>
      </c>
      <c r="G15" s="38" t="n"/>
      <c r="H15" t="inlineStr">
        <is>
          <t>4 x Senkrechte Streben + 4 x kurze Querstreben + 2 x Schublade quer</t>
        </is>
      </c>
      <c r="I15" t="inlineStr">
        <is>
          <t>https://www.dold-mechatronik.de/Aluminiumprofil-30x30L-I-Typ-Nut-6-ZUSCHNITT-bis-1200-mm-850-EUR-m-025-EUR-pro-Schnitt</t>
        </is>
      </c>
    </row>
    <row r="16">
      <c r="A16" s="10" t="inlineStr">
        <is>
          <t>Aluprofil I-Typ 30x30x590</t>
        </is>
      </c>
      <c r="B16" s="46" t="inlineStr">
        <is>
          <t>ja – Pos 9 63009-Z</t>
        </is>
      </c>
      <c r="C16" s="38" t="inlineStr">
        <is>
          <t>x</t>
        </is>
      </c>
      <c r="D16" s="38" t="n">
        <v>3</v>
      </c>
      <c r="E16" s="39" t="n">
        <v>5.27</v>
      </c>
      <c r="F16" s="38">
        <f>D16*E16</f>
        <v/>
      </c>
      <c r="G16" s="38" t="n"/>
      <c r="H16" t="inlineStr">
        <is>
          <t>Längsstreben horizontal</t>
        </is>
      </c>
      <c r="I16" t="inlineStr">
        <is>
          <t>https://www.dold-mechatronik.de/Aluminiumprofil-30x30L-I-Typ-Nut-6-ZUSCHNITT-bis-1200-mm-850-EUR-m-025-EUR-pro-Schnitt</t>
        </is>
      </c>
    </row>
    <row r="17">
      <c r="A17" s="10" t="inlineStr">
        <is>
          <t>Aluprofil I-Typ 30x30x564</t>
        </is>
      </c>
      <c r="B17" s="46" t="inlineStr">
        <is>
          <t>ja – Pos 10 63009-Z</t>
        </is>
      </c>
      <c r="C17" s="38" t="inlineStr">
        <is>
          <t>x</t>
        </is>
      </c>
      <c r="D17" s="38" t="n">
        <v>2</v>
      </c>
      <c r="E17" s="38" t="n">
        <v>5.04</v>
      </c>
      <c r="F17" s="38">
        <f>D17*E17</f>
        <v/>
      </c>
      <c r="G17" s="38" t="n"/>
      <c r="H17" t="inlineStr">
        <is>
          <t>Schublade längs</t>
        </is>
      </c>
      <c r="I17" t="inlineStr">
        <is>
          <t>https://www.dold-mechatronik.de/Aluminiumprofil-30x30L-I-Typ-Nut-6-ZUSCHNITT-bis-1200-mm-850-EUR-m-025-EUR-pro-Schnitt</t>
        </is>
      </c>
    </row>
    <row r="18">
      <c r="A18" t="inlineStr">
        <is>
          <t>Schubladenplatte</t>
        </is>
      </c>
      <c r="B18" s="47" t="inlineStr">
        <is>
          <t>nein</t>
        </is>
      </c>
      <c r="C18" s="38" t="inlineStr">
        <is>
          <t>x</t>
        </is>
      </c>
      <c r="D18" s="38" t="n">
        <v>1</v>
      </c>
      <c r="E18" s="38" t="n">
        <v>10</v>
      </c>
      <c r="F18" s="38">
        <f>D18*E18</f>
        <v/>
      </c>
      <c r="G18" s="38" t="n"/>
    </row>
    <row r="19">
      <c r="A19" s="14" t="inlineStr">
        <is>
          <t>Motorplatte, Stahl gelasert, 5mm</t>
        </is>
      </c>
      <c r="B19" s="47" t="inlineStr">
        <is>
          <t>nein</t>
        </is>
      </c>
      <c r="C19" s="38" t="inlineStr">
        <is>
          <t>x</t>
        </is>
      </c>
      <c r="D19" s="38" t="n">
        <v>2</v>
      </c>
      <c r="E19" s="38" t="n">
        <v>80</v>
      </c>
      <c r="F19" s="38">
        <f>D19*E19</f>
        <v/>
      </c>
      <c r="G19" s="38" t="n"/>
    </row>
    <row r="20">
      <c r="A20" s="10" t="inlineStr">
        <is>
          <t>Zylinderschraube DIN912, M6x20</t>
        </is>
      </c>
      <c r="B20" s="46" t="inlineStr">
        <is>
          <t>ja – Pos 11 DIN912-6x20</t>
        </is>
      </c>
      <c r="C20" s="38" t="inlineStr">
        <is>
          <t>x</t>
        </is>
      </c>
      <c r="D20" s="38" t="n">
        <v>8</v>
      </c>
      <c r="E20" s="38" t="n">
        <v>0.12</v>
      </c>
      <c r="F20" s="38">
        <f>D20*E20</f>
        <v/>
      </c>
      <c r="G20" s="38" t="n"/>
    </row>
    <row r="21">
      <c r="E21" s="38" t="n"/>
      <c r="F21" s="38" t="n"/>
      <c r="G21" s="38" t="n"/>
    </row>
    <row r="22">
      <c r="A22" s="15" t="inlineStr">
        <is>
          <t>Profilschienenführung, MR12, 600mm, Edelstahl</t>
        </is>
      </c>
      <c r="B22" s="47" t="inlineStr">
        <is>
          <t>nein</t>
        </is>
      </c>
      <c r="D22" s="38" t="n">
        <v>2</v>
      </c>
      <c r="E22" s="38" t="n">
        <v>55.12</v>
      </c>
      <c r="F22" s="38">
        <f>D22*E22</f>
        <v/>
      </c>
      <c r="G22" s="38" t="n"/>
      <c r="I22" t="inlineStr">
        <is>
          <t>https://www.motedis.com/shop/Dynamik-Lineareinheiten/Profilschienenfuehrungen-fuer-die-Linearbewegung/Profilschienenfuehrungen/Profilschienenfuehrung-Miniatur-MR12M-N-L-%3D-600mm::6111.html</t>
        </is>
      </c>
    </row>
    <row r="23">
      <c r="A23" s="10" t="inlineStr">
        <is>
          <t>Nutenstein Nut6, M3</t>
        </is>
      </c>
      <c r="B23" s="46" t="inlineStr">
        <is>
          <t>ja – Pos 12 62330-VK</t>
        </is>
      </c>
      <c r="C23" s="38" t="inlineStr">
        <is>
          <t>x</t>
        </is>
      </c>
      <c r="D23" s="38" t="n">
        <v>46</v>
      </c>
      <c r="E23" s="38" t="n">
        <v>0.39</v>
      </c>
      <c r="F23" s="38">
        <f>D23*E23</f>
        <v/>
      </c>
      <c r="G23" s="38" t="n"/>
      <c r="I23" t="inlineStr">
        <is>
          <t>https://www.dold-mechatronik.de/Nutenstein-mit-Steg-I-Typ-Nut-6-Gewindedurchmesser-M3</t>
        </is>
      </c>
    </row>
    <row r="24">
      <c r="A24" s="10" t="inlineStr">
        <is>
          <t>Zylinderschraube DIN912, M3x10</t>
        </is>
      </c>
      <c r="B24" s="46" t="inlineStr">
        <is>
          <t>ja – Pos 13 DIN912-3x10</t>
        </is>
      </c>
      <c r="C24" s="38" t="inlineStr">
        <is>
          <t>x</t>
        </is>
      </c>
      <c r="D24" s="38" t="n">
        <v>46</v>
      </c>
      <c r="E24" s="38" t="n">
        <v>0.11</v>
      </c>
      <c r="F24" s="38">
        <f>D24*E24</f>
        <v/>
      </c>
      <c r="G24" s="38" t="n"/>
      <c r="I24" t="inlineStr">
        <is>
          <t>https://www.dold-mechatronik.de/DIN-912-Zylinderschraube-mit-Innensechskant-88-verzinkt-M3x10</t>
        </is>
      </c>
    </row>
    <row r="25">
      <c r="E25" s="38" t="n"/>
      <c r="F25" s="38" t="n"/>
      <c r="G25" s="38" t="n"/>
    </row>
    <row r="26" ht="15.75" customHeight="1" s="40">
      <c r="A26" s="8" t="inlineStr">
        <is>
          <t>X-Antrieb</t>
        </is>
      </c>
      <c r="C26" s="9" t="n"/>
      <c r="E26" s="38" t="n"/>
      <c r="F26" s="38" t="n"/>
      <c r="G26" s="38" t="n"/>
    </row>
    <row r="27">
      <c r="A27" s="16" t="inlineStr">
        <is>
          <t>Schrittmotor Nanotec NEMA 14 - ST3518M1004-A</t>
        </is>
      </c>
      <c r="B27" s="47" t="inlineStr">
        <is>
          <t>nein</t>
        </is>
      </c>
      <c r="C27" s="38" t="inlineStr">
        <is>
          <t>x</t>
        </is>
      </c>
      <c r="D27" s="38" t="n">
        <v>2</v>
      </c>
      <c r="E27" s="37">
        <f>27.7*1.19</f>
        <v/>
      </c>
      <c r="F27" s="38">
        <f>D27*E27</f>
        <v/>
      </c>
      <c r="G27" s="38" t="inlineStr">
        <is>
          <t>x</t>
        </is>
      </c>
      <c r="I27" t="inlineStr">
        <is>
          <t>https://de.nanotec.com/produkte/446-st3518m1004-a/</t>
        </is>
      </c>
    </row>
    <row r="28">
      <c r="A28" s="10" t="inlineStr">
        <is>
          <t>Zylinderschraube DIN912, M3x12</t>
        </is>
      </c>
      <c r="B28" s="46" t="inlineStr">
        <is>
          <t>ja – Pos 14 DIN912-3x12</t>
        </is>
      </c>
      <c r="C28" s="38" t="inlineStr">
        <is>
          <t>x</t>
        </is>
      </c>
      <c r="D28" s="38" t="n">
        <v>8</v>
      </c>
      <c r="E28" s="38" t="n">
        <v>0.11</v>
      </c>
      <c r="F28" s="38">
        <f>D28*E28</f>
        <v/>
      </c>
      <c r="G28" s="38" t="inlineStr">
        <is>
          <t>x</t>
        </is>
      </c>
      <c r="I28" t="inlineStr">
        <is>
          <t>https://www.dold-mechatronik.de/DIN-912-Zylinderschraube-mit-Innensechskant-88-verzinkt-M3x12</t>
        </is>
      </c>
    </row>
    <row r="29">
      <c r="A29" s="10" t="n"/>
      <c r="E29" s="38" t="n"/>
      <c r="F29" s="38" t="n"/>
      <c r="G29" s="38" t="n"/>
    </row>
    <row r="30">
      <c r="A30" s="10" t="inlineStr">
        <is>
          <t>Spielfreie Wendelkupplung, D5/D6, Klemmnabenausführung</t>
        </is>
      </c>
      <c r="B30" s="46" t="inlineStr">
        <is>
          <t>ja – Pos 15 43223</t>
        </is>
      </c>
      <c r="C30" s="38" t="inlineStr">
        <is>
          <t>x</t>
        </is>
      </c>
      <c r="D30" s="38" t="n">
        <v>2</v>
      </c>
      <c r="E30" s="38" t="n">
        <v>8.5</v>
      </c>
      <c r="F30" s="38">
        <f>D30*E30</f>
        <v/>
      </c>
      <c r="G30" s="38" t="inlineStr">
        <is>
          <t>x</t>
        </is>
      </c>
      <c r="I30" t="inlineStr">
        <is>
          <t>https://www.dold-mechatronik.de/Spielfreie-Wendelkupplung-Klemmnabenausfuehrung-JT16C-D16L23-500-600mm</t>
        </is>
      </c>
    </row>
    <row r="31">
      <c r="A31" s="10" t="n"/>
      <c r="E31" s="38" t="n"/>
      <c r="F31" s="38" t="n"/>
      <c r="G31" s="38" t="n"/>
    </row>
    <row r="32">
      <c r="E32" s="38" t="n"/>
      <c r="F32" s="38" t="n"/>
      <c r="G32" s="38" t="n"/>
    </row>
    <row r="33">
      <c r="E33" s="38" t="n"/>
      <c r="F33" s="38" t="n"/>
      <c r="G33" s="38" t="n"/>
    </row>
    <row r="34">
      <c r="A34" s="20" t="inlineStr">
        <is>
          <t>Endschalter induktiv M12 x 1</t>
        </is>
      </c>
      <c r="B34" s="46" t="inlineStr">
        <is>
          <t>ja – Pos 16 AI905</t>
        </is>
      </c>
      <c r="C34" s="38" t="inlineStr">
        <is>
          <t>x</t>
        </is>
      </c>
      <c r="D34" s="38" t="n">
        <v>2</v>
      </c>
      <c r="E34" s="38" t="n">
        <v>6.89</v>
      </c>
      <c r="F34" s="38">
        <f>D34*E34</f>
        <v/>
      </c>
      <c r="G34" s="38" t="inlineStr">
        <is>
          <t>x</t>
        </is>
      </c>
      <c r="I34" t="inlineStr">
        <is>
          <t>https://www.amazon.de/Heschen-Induktiver-N%C3%A4herungsschalter-LJ12-A3-4-Z-normalerweise/dp/B071ZQ6VV6/</t>
        </is>
      </c>
    </row>
    <row r="35">
      <c r="E35" s="38" t="n"/>
      <c r="F35" s="38" t="n"/>
      <c r="G35" s="38" t="n"/>
    </row>
    <row r="36" ht="15.75" customHeight="1" s="40">
      <c r="A36" s="8" t="inlineStr">
        <is>
          <t>X-Schlitten inkl. Y-Antrieb / Führung</t>
        </is>
      </c>
      <c r="C36" s="9" t="n"/>
      <c r="E36" s="38" t="n"/>
      <c r="F36" s="38" t="n"/>
      <c r="G36" s="38" t="n"/>
    </row>
    <row r="37">
      <c r="A37" s="19" t="inlineStr">
        <is>
          <t>Trapezgewindemutter drylin, Anti-Backlash, JSRM TR10x2</t>
        </is>
      </c>
      <c r="B37" s="47" t="inlineStr">
        <is>
          <t>nein</t>
        </is>
      </c>
      <c r="C37" s="38" t="inlineStr">
        <is>
          <t>x</t>
        </is>
      </c>
      <c r="D37" s="38" t="n">
        <v>2</v>
      </c>
      <c r="E37" s="37">
        <f>20.09*1.19</f>
        <v/>
      </c>
      <c r="F37" s="37">
        <f>D37*E37</f>
        <v/>
      </c>
      <c r="G37" s="37" t="inlineStr">
        <is>
          <t>x</t>
        </is>
      </c>
      <c r="I37" t="inlineStr">
        <is>
          <t>https://www.igus.de/product/847</t>
        </is>
      </c>
    </row>
    <row r="38">
      <c r="A38" s="10" t="inlineStr">
        <is>
          <t>Lagerbock TR10x2, Aluminium</t>
        </is>
      </c>
      <c r="B38" s="46" t="inlineStr">
        <is>
          <t>ja – Pos 17 95659 SCE12S</t>
        </is>
      </c>
      <c r="C38" s="38" t="inlineStr">
        <is>
          <t>x</t>
        </is>
      </c>
      <c r="D38" s="38" t="n">
        <v>2</v>
      </c>
      <c r="E38" s="38" t="n">
        <v>5.9</v>
      </c>
      <c r="F38" s="38">
        <f>D38*E38</f>
        <v/>
      </c>
      <c r="G38" s="38" t="inlineStr">
        <is>
          <t>x</t>
        </is>
      </c>
      <c r="I38" t="inlineStr">
        <is>
          <t>https://www.dold-mechatronik.de/Aluminumgehaeuse-SCE12SFX</t>
        </is>
      </c>
    </row>
    <row r="39">
      <c r="A39" s="10" t="inlineStr">
        <is>
          <t>Zylinderschraube DIN912, M5x25</t>
        </is>
      </c>
      <c r="B39" s="46" t="inlineStr">
        <is>
          <t>ja – Pos 18 DIN912-5x25</t>
        </is>
      </c>
      <c r="C39" s="38" t="inlineStr">
        <is>
          <t>x</t>
        </is>
      </c>
      <c r="D39" s="38" t="n">
        <v>4</v>
      </c>
      <c r="E39" s="38" t="n">
        <v>0.15</v>
      </c>
      <c r="F39" s="38">
        <f>D39*E39</f>
        <v/>
      </c>
      <c r="G39" s="38" t="inlineStr">
        <is>
          <t>x</t>
        </is>
      </c>
      <c r="I39" t="inlineStr">
        <is>
          <t>https://www.dold-mechatronik.de/DIN-912-Zylinderschraube-mit-Innensechskant-88-verzinkt-M5x25</t>
        </is>
      </c>
    </row>
    <row r="40">
      <c r="E40" s="37" t="n"/>
      <c r="F40" s="38" t="n"/>
      <c r="G40" s="38" t="n"/>
    </row>
    <row r="41">
      <c r="A41" s="15" t="inlineStr">
        <is>
          <t>Linearwagen MR12 MN-SS-V0-N</t>
        </is>
      </c>
      <c r="B41" s="46" t="inlineStr">
        <is>
          <t>ja – Pos 19 MR12 MN-SS</t>
        </is>
      </c>
      <c r="D41" s="38" t="n">
        <v>2</v>
      </c>
      <c r="E41" s="38" t="n">
        <v>18.6</v>
      </c>
      <c r="F41" s="38">
        <f>D41*E41</f>
        <v/>
      </c>
      <c r="G41" s="38" t="inlineStr">
        <is>
          <t>x</t>
        </is>
      </c>
      <c r="I41" t="inlineStr">
        <is>
          <t>https://www.motedis.com/shop/Dynamik-Lineareinheiten/Profilschienenfuehrungen-fuer-die-Linearbewegung/Profilschienenfuehrungen/Fuehrungswagen-Miniatur-MR12MN-SS-V0-N::6097.html</t>
        </is>
      </c>
    </row>
    <row r="42">
      <c r="A42" s="10" t="inlineStr">
        <is>
          <t>Zylinderschraube DIN912, M3x10</t>
        </is>
      </c>
      <c r="B42" s="46" t="inlineStr">
        <is>
          <t>ja – Pos 20 DIN912-3x10</t>
        </is>
      </c>
      <c r="C42" s="38" t="inlineStr">
        <is>
          <t>x</t>
        </is>
      </c>
      <c r="D42" s="38" t="n">
        <v>8</v>
      </c>
      <c r="E42" s="38" t="n">
        <v>0.13</v>
      </c>
      <c r="F42" s="38">
        <f>D42*E42</f>
        <v/>
      </c>
      <c r="G42" s="38" t="inlineStr">
        <is>
          <t>x</t>
        </is>
      </c>
      <c r="I42" t="inlineStr">
        <is>
          <t>https://www.dold-mechatronik.de/DIN-912-Zylinderschraube-mit-Innensechskant-88-verzinkt-M3x10</t>
        </is>
      </c>
    </row>
    <row r="43">
      <c r="E43" s="38" t="n"/>
      <c r="F43" s="38" t="n"/>
      <c r="G43" s="38" t="n"/>
    </row>
    <row r="44">
      <c r="A44" s="10" t="inlineStr">
        <is>
          <t>Aluprofil 40x16S I-Typ, 436mm</t>
        </is>
      </c>
      <c r="B44" s="46" t="inlineStr">
        <is>
          <t>ja – Pos 21 60879-Z</t>
        </is>
      </c>
      <c r="C44" s="38" t="inlineStr">
        <is>
          <t>x</t>
        </is>
      </c>
      <c r="D44" s="38" t="n">
        <v>1</v>
      </c>
      <c r="E44" s="38" t="n">
        <v>4.83</v>
      </c>
      <c r="F44" s="38">
        <f>D44*E44</f>
        <v/>
      </c>
      <c r="G44" s="38" t="inlineStr">
        <is>
          <t>x</t>
        </is>
      </c>
      <c r="I44" t="inlineStr">
        <is>
          <t>https://www.dold-mechatronik.de/Aluminiumprofil-40x16S-I-Typ-Nut-8-ZUSCHNITT-bis-1200-mm-1050-EUR-m-025-EUR-pro-Schnitt</t>
        </is>
      </c>
    </row>
    <row r="45">
      <c r="A45" s="14" t="inlineStr">
        <is>
          <t>Seitenplatten, Stahl, gelasert, 5mm</t>
        </is>
      </c>
      <c r="B45" s="47" t="inlineStr">
        <is>
          <t>nein</t>
        </is>
      </c>
      <c r="D45" s="38" t="n">
        <v>2</v>
      </c>
      <c r="E45" s="38" t="n">
        <v>35</v>
      </c>
      <c r="F45" s="38">
        <f>D45*E45</f>
        <v/>
      </c>
      <c r="G45" s="38" t="inlineStr">
        <is>
          <t>x</t>
        </is>
      </c>
    </row>
    <row r="46">
      <c r="A46" s="10" t="inlineStr">
        <is>
          <t>Zylinderschraube DIN912, M6x20</t>
        </is>
      </c>
      <c r="B46" s="46" t="inlineStr">
        <is>
          <t>ja – Pos 22 DIN912-6x20</t>
        </is>
      </c>
      <c r="C46" s="38" t="inlineStr">
        <is>
          <t>x</t>
        </is>
      </c>
      <c r="D46" s="38" t="n">
        <v>4</v>
      </c>
      <c r="E46" s="38" t="n">
        <v>0.15</v>
      </c>
      <c r="F46" s="38">
        <f>D46*E46</f>
        <v/>
      </c>
      <c r="G46" s="38" t="inlineStr">
        <is>
          <t>x</t>
        </is>
      </c>
      <c r="I46" t="inlineStr">
        <is>
          <t>https://www.dold-mechatronik.de/DIN-912-Zylinderschraube-mit-Innensechskant-88-verzinkt-M6x20</t>
        </is>
      </c>
    </row>
    <row r="47">
      <c r="E47" s="38" t="n"/>
      <c r="F47" s="38" t="n"/>
      <c r="G47" s="38" t="n"/>
    </row>
    <row r="48">
      <c r="A48" s="16" t="inlineStr">
        <is>
          <t>Schrittmotor Nanotec NEMA 14 - ST3518M1004-A</t>
        </is>
      </c>
      <c r="B48" s="47" t="inlineStr">
        <is>
          <t>nein</t>
        </is>
      </c>
      <c r="C48" s="38" t="inlineStr">
        <is>
          <t>x</t>
        </is>
      </c>
      <c r="D48" s="38" t="n">
        <v>1</v>
      </c>
      <c r="E48" s="37">
        <f>27.7*1.19</f>
        <v/>
      </c>
      <c r="F48" s="37">
        <f>D48*E48</f>
        <v/>
      </c>
      <c r="G48" s="38" t="inlineStr">
        <is>
          <t>x</t>
        </is>
      </c>
      <c r="I48" t="inlineStr">
        <is>
          <t>https://de.nanotec.com/produkte/446-st3518m1004-a/</t>
        </is>
      </c>
    </row>
    <row r="49">
      <c r="A49" s="10" t="inlineStr">
        <is>
          <t>Zylinderschraube DIN912, M3x12</t>
        </is>
      </c>
      <c r="B49" s="46" t="inlineStr">
        <is>
          <t>ja – Pos 23 DIN912-3x12</t>
        </is>
      </c>
      <c r="C49" s="38" t="inlineStr">
        <is>
          <t>x</t>
        </is>
      </c>
      <c r="D49" s="38" t="n">
        <v>4</v>
      </c>
      <c r="E49" s="38" t="n">
        <v>0.11</v>
      </c>
      <c r="F49" s="38">
        <f>D49*E49</f>
        <v/>
      </c>
      <c r="G49" s="38" t="inlineStr">
        <is>
          <t>x</t>
        </is>
      </c>
      <c r="I49" t="inlineStr">
        <is>
          <t>https://www.dold-mechatronik.de/DIN-912-Zylinderschraube-mit-Innensechskant-88-verzinkt-M3x12</t>
        </is>
      </c>
    </row>
    <row r="50">
      <c r="A50" s="10" t="inlineStr">
        <is>
          <t>Spielfreie Wendelkupplung, D5/D6, Klemmnabenausführung</t>
        </is>
      </c>
      <c r="B50" s="46" t="inlineStr">
        <is>
          <t>ja – Pos 24 43223</t>
        </is>
      </c>
      <c r="C50" s="38" t="inlineStr">
        <is>
          <t>x</t>
        </is>
      </c>
      <c r="D50" s="38" t="n">
        <v>1</v>
      </c>
      <c r="E50" s="38" t="n">
        <v>8.5</v>
      </c>
      <c r="F50" s="38">
        <f>D50*E50</f>
        <v/>
      </c>
      <c r="G50" s="38" t="inlineStr">
        <is>
          <t>x</t>
        </is>
      </c>
      <c r="I50" t="inlineStr">
        <is>
          <t>https://www.dold-mechatronik.de/Spielfreie-Wendelkupplung-Klemmnabenausfuehrung-JT16C-D16L23-500-600mm</t>
        </is>
      </c>
    </row>
    <row r="51">
      <c r="A51" s="10" t="inlineStr">
        <is>
          <t>Rillenkugellager 626 2RS 6x19x6</t>
        </is>
      </c>
      <c r="B51" s="46" t="inlineStr">
        <is>
          <t>ja – Pos 25 626-2RS</t>
        </is>
      </c>
      <c r="C51" s="38" t="inlineStr">
        <is>
          <t>x</t>
        </is>
      </c>
      <c r="D51" s="38" t="n">
        <v>1</v>
      </c>
      <c r="E51" s="38" t="n">
        <v>0.5</v>
      </c>
      <c r="F51" s="38">
        <f>D51*E51</f>
        <v/>
      </c>
      <c r="G51" s="38" t="inlineStr">
        <is>
          <t>x</t>
        </is>
      </c>
      <c r="I51" t="inlineStr">
        <is>
          <t>https://www.dold-mechatronik.de/Rillenkugellager-626-2RS-6x19x6mm</t>
        </is>
      </c>
    </row>
    <row r="52">
      <c r="A52" t="inlineStr">
        <is>
          <t>Sicherungsring Welle DIN 471, D6</t>
        </is>
      </c>
      <c r="B52" s="47" t="inlineStr">
        <is>
          <t>nein</t>
        </is>
      </c>
      <c r="D52" s="38" t="n">
        <v>1</v>
      </c>
      <c r="E52" s="38" t="inlineStr">
        <is>
          <t>?</t>
        </is>
      </c>
      <c r="F52" s="38" t="n"/>
      <c r="G52" s="38" t="n"/>
    </row>
    <row r="53">
      <c r="A53" s="10" t="inlineStr">
        <is>
          <t>Trapezgewindespindel TR10x2, 400mm mit Endenbearbeitung</t>
        </is>
      </c>
      <c r="B53" s="47" t="inlineStr">
        <is>
          <t>nein</t>
        </is>
      </c>
      <c r="C53" s="38" t="inlineStr">
        <is>
          <t>x</t>
        </is>
      </c>
      <c r="D53" s="38" t="n">
        <v>1</v>
      </c>
      <c r="E53" s="39" t="n">
        <v>21.3</v>
      </c>
      <c r="F53" s="38">
        <f>D53*E53</f>
        <v/>
      </c>
      <c r="G53" s="38" t="inlineStr">
        <is>
          <t>x</t>
        </is>
      </c>
      <c r="I53" t="inlineStr">
        <is>
          <t>https://de.nanotec.com/produkte/446-st3518m1004-a/</t>
        </is>
      </c>
    </row>
    <row r="54">
      <c r="E54" s="38" t="n"/>
      <c r="F54" s="38" t="n"/>
      <c r="G54" s="38" t="n"/>
    </row>
    <row r="55">
      <c r="A55" s="10" t="inlineStr">
        <is>
          <t>Präzisionswelle D10, 450mm mit M6 Gewinde</t>
        </is>
      </c>
      <c r="B55" s="46" t="inlineStr">
        <is>
          <t>ja – Pos 26 32067-STL-GW-450 (Gewinde M5x20 statt M6)</t>
        </is>
      </c>
      <c r="C55" s="38" t="inlineStr">
        <is>
          <t>x</t>
        </is>
      </c>
      <c r="D55" s="38" t="n">
        <v>2</v>
      </c>
      <c r="E55" s="38" t="n">
        <v>8.699999999999999</v>
      </c>
      <c r="F55" s="38">
        <f>D55*E55</f>
        <v/>
      </c>
      <c r="G55" s="38" t="inlineStr">
        <is>
          <t>x</t>
        </is>
      </c>
      <c r="I55" t="inlineStr">
        <is>
          <t>https://www.dold-mechatronik.de/Praezisionswelle-10mm-h6-geschliffen-gehaertet-450mm-mit-Gewindebohrungen-M5x20</t>
        </is>
      </c>
    </row>
    <row r="56">
      <c r="A56" s="10" t="inlineStr">
        <is>
          <t>Unterlegscheiben M5</t>
        </is>
      </c>
      <c r="B56" s="46" t="inlineStr">
        <is>
          <t>ja – Pos 27 DIN125-A5,3</t>
        </is>
      </c>
      <c r="C56" s="38" t="inlineStr">
        <is>
          <t>x</t>
        </is>
      </c>
      <c r="D56" s="38" t="n">
        <v>4</v>
      </c>
      <c r="E56" s="38" t="n">
        <v>0.15</v>
      </c>
      <c r="F56" s="38">
        <f>D56*E56</f>
        <v/>
      </c>
      <c r="G56" s="38" t="inlineStr">
        <is>
          <t>x</t>
        </is>
      </c>
      <c r="I56" t="inlineStr">
        <is>
          <t>https://www.dold-mechatronik.de/DIN-125-Form-A-Unterlegscheibe-Stahl-verzinkt-d53mm-D10mm</t>
        </is>
      </c>
    </row>
    <row r="57">
      <c r="A57" s="10" t="inlineStr">
        <is>
          <t>Zylinderschraube M5x20</t>
        </is>
      </c>
      <c r="B57" s="46" t="inlineStr">
        <is>
          <t>ja – Pos 28 DIN912-5x20</t>
        </is>
      </c>
      <c r="C57" s="38" t="inlineStr">
        <is>
          <t>x</t>
        </is>
      </c>
      <c r="D57" s="38" t="n">
        <v>4</v>
      </c>
      <c r="E57" s="38" t="n">
        <v>0.14</v>
      </c>
      <c r="F57" s="38">
        <f>D57*E57</f>
        <v/>
      </c>
      <c r="G57" s="38" t="inlineStr">
        <is>
          <t>x</t>
        </is>
      </c>
      <c r="I57" t="inlineStr">
        <is>
          <t>https://www.dold-mechatronik.de/DIN-912-Zylinderschraube-mit-Innensechskant-88-verzinkt-M5x20</t>
        </is>
      </c>
    </row>
    <row r="58">
      <c r="E58" s="38" t="n"/>
      <c r="F58" s="38" t="n"/>
      <c r="G58" s="38" t="n"/>
    </row>
    <row r="59">
      <c r="A59" s="20" t="inlineStr">
        <is>
          <t>Endschalter induktiv M12 x 1</t>
        </is>
      </c>
      <c r="B59" s="46" t="inlineStr">
        <is>
          <t>ja – Pos 29 AI905</t>
        </is>
      </c>
      <c r="C59" s="38" t="inlineStr">
        <is>
          <t>x</t>
        </is>
      </c>
      <c r="D59" s="38" t="n">
        <v>2</v>
      </c>
      <c r="E59" s="38" t="n">
        <v>6.89</v>
      </c>
      <c r="F59" s="38">
        <f>D59*E59</f>
        <v/>
      </c>
      <c r="G59" s="38" t="inlineStr">
        <is>
          <t>x</t>
        </is>
      </c>
      <c r="I59" t="inlineStr">
        <is>
          <t>https://www.amazon.de/Heschen-Induktiver-N%C3%A4herungsschalter-LJ12-A3-4-Z-normalerweise/dp/B071ZQ6VV6/</t>
        </is>
      </c>
    </row>
    <row r="60">
      <c r="E60" s="38" t="n"/>
      <c r="F60" s="38" t="n"/>
      <c r="G60" s="38" t="n"/>
    </row>
    <row r="61" ht="15.75" customHeight="1" s="40">
      <c r="A61" s="8" t="inlineStr">
        <is>
          <t>Y-Schlitten mit Z-Antrieb / -Führung</t>
        </is>
      </c>
      <c r="C61" s="9" t="n"/>
      <c r="E61" s="38" t="n"/>
      <c r="F61" s="38" t="n"/>
      <c r="G61" s="38" t="n"/>
    </row>
    <row r="62">
      <c r="A62" s="10" t="inlineStr">
        <is>
          <t>Zylinderschraube DIN7984, M4x20</t>
        </is>
      </c>
      <c r="B62" s="46" t="inlineStr">
        <is>
          <t>ja – Pos 30 DIN7984-4x20</t>
        </is>
      </c>
      <c r="C62" s="38" t="inlineStr">
        <is>
          <t>x</t>
        </is>
      </c>
      <c r="D62" s="38" t="n">
        <v>3</v>
      </c>
      <c r="E62" s="39" t="n">
        <v>0.14</v>
      </c>
      <c r="F62" s="38">
        <f>D62*E62</f>
        <v/>
      </c>
      <c r="G62" s="38" t="inlineStr">
        <is>
          <t>x</t>
        </is>
      </c>
      <c r="I62" t="inlineStr">
        <is>
          <t>https://www.dold-mechatronik.de/DIN-912-Zylinderschraube-mit-Innensechskant-88-verzinkt-M4x20</t>
        </is>
      </c>
    </row>
    <row r="63">
      <c r="A63" s="10" t="inlineStr">
        <is>
          <t>Din 934 Sechskantmutter, M4</t>
        </is>
      </c>
      <c r="B63" s="46" t="inlineStr">
        <is>
          <t>ja – Pos 31 DIN934-M4</t>
        </is>
      </c>
      <c r="C63" s="38" t="inlineStr">
        <is>
          <t>x</t>
        </is>
      </c>
      <c r="D63" s="38" t="n">
        <v>2</v>
      </c>
      <c r="E63" s="39" t="n">
        <v>0.14</v>
      </c>
      <c r="F63" s="38">
        <f>D63*E63</f>
        <v/>
      </c>
      <c r="G63" s="38" t="inlineStr">
        <is>
          <t>x</t>
        </is>
      </c>
      <c r="I63" t="inlineStr">
        <is>
          <t>https://www.dold-mechatronik.de/DIN-934-Sechskantmutter-8-verzinkt-M4x07</t>
        </is>
      </c>
    </row>
    <row r="64">
      <c r="E64" s="38" t="n"/>
      <c r="F64" s="38" t="n"/>
      <c r="G64" s="38" t="n"/>
    </row>
    <row r="65">
      <c r="A65" s="10" t="inlineStr">
        <is>
          <t>Vollkunststoffgleitlager RJMP DryLin igus, D10</t>
        </is>
      </c>
      <c r="B65" s="46" t="inlineStr">
        <is>
          <t>ja – Pos 32 76993-VK</t>
        </is>
      </c>
      <c r="C65" s="38" t="inlineStr">
        <is>
          <t>x</t>
        </is>
      </c>
      <c r="D65" s="38" t="n">
        <v>4</v>
      </c>
      <c r="E65" s="38" t="n">
        <v>4.2</v>
      </c>
      <c r="F65" s="37">
        <f>D65*E65</f>
        <v/>
      </c>
      <c r="G65" s="37" t="inlineStr">
        <is>
          <t>x</t>
        </is>
      </c>
      <c r="I65" t="inlineStr">
        <is>
          <t>https://www.dold-mechatronik.de/Vollkunststofflager-RJMP-01-10-DryLinZ-von-igusZ</t>
        </is>
      </c>
    </row>
    <row r="66">
      <c r="A66" s="10" t="inlineStr">
        <is>
          <t>Sicherungsring Bohrung DIN 472, D22</t>
        </is>
      </c>
      <c r="B66" s="46" t="inlineStr">
        <is>
          <t>ja – Pos 33 DIN472-I22</t>
        </is>
      </c>
      <c r="C66" s="38" t="inlineStr">
        <is>
          <t>x</t>
        </is>
      </c>
      <c r="D66" s="38" t="n">
        <v>4</v>
      </c>
      <c r="E66" s="38" t="n">
        <v>0.15</v>
      </c>
      <c r="F66" s="37">
        <f>D66*E66</f>
        <v/>
      </c>
      <c r="G66" s="37" t="inlineStr">
        <is>
          <t>x</t>
        </is>
      </c>
      <c r="I66" t="inlineStr">
        <is>
          <t>https://www.dold-mechatronik.de/DIN-472-Form-I-Sicherungsring-fuer-Bohrungen-Stahl-blank-I22</t>
        </is>
      </c>
    </row>
    <row r="67">
      <c r="A67" s="19" t="inlineStr">
        <is>
          <t>Trapezgewindemutter drylin, Anti-Backlash, JSRM TR10x2</t>
        </is>
      </c>
      <c r="B67" s="47" t="inlineStr">
        <is>
          <t>nein</t>
        </is>
      </c>
      <c r="C67" s="38" t="inlineStr">
        <is>
          <t>x</t>
        </is>
      </c>
      <c r="D67" s="38" t="n">
        <v>1</v>
      </c>
      <c r="E67" s="37">
        <f>20.09*1.19</f>
        <v/>
      </c>
      <c r="F67" s="37">
        <f>D67*E67</f>
        <v/>
      </c>
      <c r="G67" s="37" t="inlineStr">
        <is>
          <t>x</t>
        </is>
      </c>
      <c r="I67" t="inlineStr">
        <is>
          <t>https://www.igus.de/product/847</t>
        </is>
      </c>
    </row>
    <row r="68">
      <c r="E68" s="37" t="n"/>
      <c r="F68" s="37" t="n"/>
      <c r="G68" s="37" t="n"/>
    </row>
    <row r="69">
      <c r="A69" s="16" t="inlineStr">
        <is>
          <t>Schrittmotor Nanotec NEMA 14 - ST3518M1004-A</t>
        </is>
      </c>
      <c r="B69" s="47" t="inlineStr">
        <is>
          <t>nein</t>
        </is>
      </c>
      <c r="D69" s="38" t="n">
        <v>1</v>
      </c>
      <c r="E69" s="37">
        <f>27.7*1.19</f>
        <v/>
      </c>
      <c r="F69" s="37">
        <f>D69*E69</f>
        <v/>
      </c>
      <c r="G69" s="38" t="inlineStr">
        <is>
          <t>x</t>
        </is>
      </c>
      <c r="I69" t="inlineStr">
        <is>
          <t>https://de.nanotec.com/produkte/446-st3518m1004-a/</t>
        </is>
      </c>
    </row>
    <row r="70">
      <c r="A70" s="10" t="inlineStr">
        <is>
          <t>Zylinderschraube DIN912, M3x10</t>
        </is>
      </c>
      <c r="B70" s="46" t="inlineStr">
        <is>
          <t>ja – Pos 34 DIN912-3x10</t>
        </is>
      </c>
      <c r="C70" s="38" t="inlineStr">
        <is>
          <t>x</t>
        </is>
      </c>
      <c r="D70" s="38" t="n">
        <v>4</v>
      </c>
      <c r="E70" s="38" t="n">
        <v>0.11</v>
      </c>
      <c r="F70" s="38">
        <f>D70*E70</f>
        <v/>
      </c>
      <c r="G70" s="38" t="inlineStr">
        <is>
          <t>x</t>
        </is>
      </c>
      <c r="I70" t="inlineStr">
        <is>
          <t>https://www.dold-mechatronik.de/DIN-912-Zylinderschraube-mit-Innensechskant-88-verzinkt-M3x12</t>
        </is>
      </c>
    </row>
    <row r="71">
      <c r="A71" s="10" t="inlineStr">
        <is>
          <t>Zahnriemenrad GT2 6mm, 16 Zähne</t>
        </is>
      </c>
      <c r="B71" s="46" t="inlineStr">
        <is>
          <t>ja – Pos 35 46088</t>
        </is>
      </c>
      <c r="C71" s="38" t="inlineStr">
        <is>
          <t>x</t>
        </is>
      </c>
      <c r="D71" s="38" t="n">
        <v>1</v>
      </c>
      <c r="E71" s="37" t="n">
        <v>2.9</v>
      </c>
      <c r="F71" s="38">
        <f>D71*E71</f>
        <v/>
      </c>
      <c r="G71" s="38" t="inlineStr">
        <is>
          <t>x</t>
        </is>
      </c>
      <c r="I71" t="inlineStr">
        <is>
          <t>https://www.dold-mechatronik.de/Zahnriemenrad-GT2-6mm-breit-16-Zaehne-Bohrung-500mm-H7-mit-Klemmschrauben</t>
        </is>
      </c>
    </row>
    <row r="72">
      <c r="A72" s="10" t="inlineStr">
        <is>
          <t>Umlenkrolle GT2 6mm, 16 Zähne</t>
        </is>
      </c>
      <c r="B72" s="46" t="inlineStr">
        <is>
          <t>ja – Pos 36 46132</t>
        </is>
      </c>
      <c r="D72" s="38" t="n">
        <v>1</v>
      </c>
      <c r="E72" s="37" t="n">
        <v>3.2</v>
      </c>
      <c r="F72" s="38">
        <f>D72*E72</f>
        <v/>
      </c>
      <c r="G72" s="38" t="inlineStr">
        <is>
          <t>x</t>
        </is>
      </c>
      <c r="I72" t="inlineStr">
        <is>
          <t>https://www.dold-mechatronik.de/Umlenkrolle-Zahnriemenrad-mit-Kugellager-GT2-6mm-breit-16-Zaehne-Bohrung-300mm</t>
        </is>
      </c>
    </row>
    <row r="73">
      <c r="A73" s="10" t="inlineStr">
        <is>
          <t>Zahnriemen GT2, 6mm, 1m</t>
        </is>
      </c>
      <c r="B73" s="46" t="inlineStr">
        <is>
          <t>ja – Pos 37 46194</t>
        </is>
      </c>
      <c r="C73" s="38" t="inlineStr">
        <is>
          <t>x</t>
        </is>
      </c>
      <c r="D73" s="38" t="n">
        <v>1</v>
      </c>
      <c r="E73" s="37" t="n">
        <v>2.5</v>
      </c>
      <c r="F73" s="38">
        <f>D73*E73</f>
        <v/>
      </c>
      <c r="G73" s="38" t="inlineStr">
        <is>
          <t>x</t>
        </is>
      </c>
    </row>
    <row r="74">
      <c r="E74" s="38" t="n"/>
      <c r="F74" s="38" t="n"/>
      <c r="G74" s="38" t="n"/>
    </row>
    <row r="75">
      <c r="A75" s="15" t="inlineStr">
        <is>
          <t>Linearwagen MR12 MN-SS-V0-N</t>
        </is>
      </c>
      <c r="B75" s="46" t="inlineStr">
        <is>
          <t>ja – Pos 38 MR12 MN-SS</t>
        </is>
      </c>
      <c r="D75" s="38" t="n">
        <v>1</v>
      </c>
      <c r="E75" s="38" t="n">
        <v>18.6</v>
      </c>
      <c r="F75" s="38">
        <f>D75*E75</f>
        <v/>
      </c>
      <c r="G75" s="38" t="inlineStr">
        <is>
          <t>x</t>
        </is>
      </c>
      <c r="I75" t="inlineStr">
        <is>
          <t>https://www.motedis.com/shop/Dynamik-Lineareinheiten/Profilschienenfuehrungen-fuer-die-Linearbewegung/Profilschienenfuehrungen/Fuehrungswagen-Miniatur-MR12MN-SS-V0-N::6097.html</t>
        </is>
      </c>
    </row>
    <row r="76">
      <c r="A76" s="10" t="inlineStr">
        <is>
          <t>Zylinderschraube DIN7984, M3x10</t>
        </is>
      </c>
      <c r="B76" s="46" t="inlineStr">
        <is>
          <t>ja – Pos 39 als DIN912-3x10 (statt DIN 7984)</t>
        </is>
      </c>
      <c r="C76" s="38" t="inlineStr">
        <is>
          <t>x</t>
        </is>
      </c>
      <c r="D76" s="38" t="n">
        <v>4</v>
      </c>
      <c r="E76" s="38" t="n">
        <v>0.3</v>
      </c>
      <c r="F76" s="38">
        <f>D76*E76</f>
        <v/>
      </c>
      <c r="G76" s="38" t="inlineStr">
        <is>
          <t>x</t>
        </is>
      </c>
      <c r="I76" t="inlineStr">
        <is>
          <t>https://www.dold-mechatronik.de/DIN-7984-Zylinderschraube-mit-Innensechskant-und-niedrigem-Kopf-88-verzinkt</t>
        </is>
      </c>
    </row>
    <row r="77">
      <c r="E77" s="38" t="n"/>
      <c r="F77" s="38" t="n"/>
      <c r="G77" s="38" t="n"/>
    </row>
    <row r="78">
      <c r="A78" s="20" t="inlineStr">
        <is>
          <t>6 Stück optische Endstops mit Kabel</t>
        </is>
      </c>
      <c r="B78" s="47" t="inlineStr">
        <is>
          <t>nein</t>
        </is>
      </c>
      <c r="C78" s="38" t="inlineStr">
        <is>
          <t>x</t>
        </is>
      </c>
      <c r="D78" s="38" t="n">
        <v>1</v>
      </c>
      <c r="E78" s="38" t="n">
        <v>10.69</v>
      </c>
      <c r="F78" s="38">
        <f>D78*E78</f>
        <v/>
      </c>
      <c r="G78" s="38" t="inlineStr">
        <is>
          <t>x</t>
        </is>
      </c>
      <c r="I78" t="inlineStr">
        <is>
          <t>https://www.amazon.de/gp/product/B07PX8ZFXN/ref=ox_sc_act_title_2?smid=AS8JK4HNTE2NO&amp;psc=1</t>
        </is>
      </c>
    </row>
    <row r="79">
      <c r="E79" s="38" t="n"/>
      <c r="F79" s="38" t="n"/>
      <c r="G79" s="38" t="n"/>
    </row>
    <row r="80" ht="15.75" customHeight="1" s="40">
      <c r="A80" s="8" t="inlineStr">
        <is>
          <t>Z-Schlitten</t>
        </is>
      </c>
      <c r="C80" s="9" t="n"/>
      <c r="E80" s="38" t="n"/>
      <c r="F80" s="38" t="n"/>
      <c r="G80" s="38" t="n"/>
    </row>
    <row r="81">
      <c r="A81" s="10" t="inlineStr">
        <is>
          <t>Profilschienenführung, MR12, 150mm, Edelstahl</t>
        </is>
      </c>
      <c r="B81" s="46" t="inlineStr">
        <is>
          <t>ja – Pos 40 78553-150</t>
        </is>
      </c>
      <c r="C81" s="38" t="inlineStr">
        <is>
          <t>x</t>
        </is>
      </c>
      <c r="D81" s="38" t="n">
        <v>1</v>
      </c>
      <c r="E81" s="39" t="n">
        <v>20.55</v>
      </c>
      <c r="F81" s="38">
        <f>D81*E81</f>
        <v/>
      </c>
      <c r="G81" s="38" t="inlineStr">
        <is>
          <t>x</t>
        </is>
      </c>
      <c r="I81" t="inlineStr">
        <is>
          <t>https://www.dold-mechatronik.de/Linearfuehrung-MR-12-M-Edelstahl-150mm</t>
        </is>
      </c>
    </row>
    <row r="82">
      <c r="A82" t="inlineStr">
        <is>
          <t>Probespitze</t>
        </is>
      </c>
      <c r="B82" s="47" t="inlineStr">
        <is>
          <t>nein</t>
        </is>
      </c>
      <c r="D82" s="38" t="n">
        <v>1</v>
      </c>
      <c r="E82" s="39" t="inlineStr">
        <is>
          <t>?</t>
        </is>
      </c>
      <c r="F82" s="38" t="n"/>
      <c r="G82" s="38" t="inlineStr">
        <is>
          <t>x</t>
        </is>
      </c>
    </row>
    <row r="83">
      <c r="E83" s="39" t="n"/>
      <c r="F83" s="38" t="n"/>
      <c r="G83" s="38" t="n"/>
    </row>
    <row r="84" ht="15.75" customHeight="1" s="40">
      <c r="A84" s="8" t="inlineStr">
        <is>
          <t>Elektronik</t>
        </is>
      </c>
      <c r="C84" s="9" t="n"/>
      <c r="E84" s="39" t="n"/>
      <c r="F84" s="38" t="n"/>
      <c r="G84" s="38" t="n"/>
    </row>
    <row r="85">
      <c r="A85" s="20" t="inlineStr">
        <is>
          <t>Smoothieboard ohne Stepper Treiber</t>
        </is>
      </c>
      <c r="B85" s="47" t="inlineStr">
        <is>
          <t>nein</t>
        </is>
      </c>
      <c r="C85" s="38" t="inlineStr">
        <is>
          <t>x</t>
        </is>
      </c>
      <c r="D85" s="38" t="n">
        <v>1</v>
      </c>
      <c r="E85" s="39" t="n">
        <v>25.99</v>
      </c>
      <c r="F85" s="38">
        <f>D85*E85</f>
        <v/>
      </c>
      <c r="G85" s="38" t="inlineStr">
        <is>
          <t>x</t>
        </is>
      </c>
      <c r="I85" t="inlineStr">
        <is>
          <t>https://www.amazon.de/gp/product/B07P73VWHK/</t>
        </is>
      </c>
    </row>
    <row r="86">
      <c r="A86" s="20" t="inlineStr">
        <is>
          <t>4 x TMC2130 V2.0 Motortreiber</t>
        </is>
      </c>
      <c r="B86" s="47" t="inlineStr">
        <is>
          <t>nein</t>
        </is>
      </c>
      <c r="C86" s="38" t="inlineStr">
        <is>
          <t>x</t>
        </is>
      </c>
      <c r="D86" s="38" t="n">
        <v>1</v>
      </c>
      <c r="E86" s="39" t="n">
        <v>33.99</v>
      </c>
      <c r="F86" s="38">
        <f>D86*E86</f>
        <v/>
      </c>
      <c r="G86" s="38" t="inlineStr">
        <is>
          <t>x</t>
        </is>
      </c>
      <c r="I86" t="inlineStr">
        <is>
          <t>https://www.amazon.de/PoPprint-SPI-Motortreiber-K%C3%BChlk%C3%B6rper-Verwendung-Goldablagerungstechnologie/dp/B07Q9JKK23/</t>
        </is>
      </c>
    </row>
    <row r="87">
      <c r="A87" s="20" t="inlineStr">
        <is>
          <t>Schaltnetzteil 24V, 8,4A, 200W</t>
        </is>
      </c>
      <c r="B87" s="47" t="inlineStr">
        <is>
          <t>nein</t>
        </is>
      </c>
      <c r="C87" s="38" t="inlineStr">
        <is>
          <t>x</t>
        </is>
      </c>
      <c r="D87" s="38" t="n">
        <v>1</v>
      </c>
      <c r="E87" s="38" t="n">
        <v>37.9</v>
      </c>
      <c r="F87" s="38">
        <f>D87*E87</f>
        <v/>
      </c>
      <c r="G87" s="38" t="inlineStr">
        <is>
          <t>x</t>
        </is>
      </c>
      <c r="I87" t="inlineStr">
        <is>
          <t>https://www.amazon.de/Kingled-Netzteil-Switching-wasserdicht-kompatibel/dp/B01JOTURAK/</t>
        </is>
      </c>
    </row>
    <row r="88">
      <c r="A88" t="inlineStr">
        <is>
          <t>Schukokabel</t>
        </is>
      </c>
      <c r="B88" s="47" t="inlineStr">
        <is>
          <t>nein</t>
        </is>
      </c>
      <c r="C88" s="38" t="n"/>
      <c r="D88" s="38" t="n"/>
      <c r="E88" s="38" t="n"/>
      <c r="F88" s="38" t="n"/>
      <c r="G88" s="38" t="inlineStr">
        <is>
          <t>x</t>
        </is>
      </c>
    </row>
    <row r="89">
      <c r="A89" t="inlineStr">
        <is>
          <t>Kabel Probe</t>
        </is>
      </c>
      <c r="B89" s="47" t="inlineStr">
        <is>
          <t>nein</t>
        </is>
      </c>
      <c r="C89" s="38" t="n"/>
      <c r="D89" s="38" t="n"/>
      <c r="E89" s="38" t="n"/>
      <c r="F89" s="38" t="n"/>
      <c r="G89" s="38" t="inlineStr">
        <is>
          <t>x</t>
        </is>
      </c>
    </row>
    <row r="90">
      <c r="A90" t="inlineStr">
        <is>
          <t>Gehäuse für Elektronik</t>
        </is>
      </c>
      <c r="B90" s="47" t="inlineStr">
        <is>
          <t>nein</t>
        </is>
      </c>
      <c r="C90" s="38" t="n"/>
      <c r="D90" s="38" t="n"/>
      <c r="E90" s="38" t="n"/>
      <c r="F90" s="38" t="n"/>
      <c r="G90" s="38" t="n"/>
    </row>
    <row r="91">
      <c r="A91" t="inlineStr">
        <is>
          <t>Energieketten</t>
        </is>
      </c>
      <c r="B91" s="47" t="inlineStr">
        <is>
          <t>nein</t>
        </is>
      </c>
      <c r="C91" s="38" t="n"/>
      <c r="D91" s="38" t="n"/>
      <c r="E91" s="38" t="n"/>
      <c r="F91" s="38" t="n"/>
      <c r="G91" s="38" t="inlineStr">
        <is>
          <t>x</t>
        </is>
      </c>
    </row>
    <row r="92">
      <c r="A92" t="inlineStr">
        <is>
          <t>Kabel für Endschalter</t>
        </is>
      </c>
      <c r="B92" s="47" t="inlineStr">
        <is>
          <t>nein</t>
        </is>
      </c>
      <c r="C92" s="38" t="n"/>
      <c r="D92" s="38" t="n"/>
      <c r="E92" s="38" t="n"/>
      <c r="F92" s="38" t="n"/>
      <c r="G92" s="38" t="inlineStr">
        <is>
          <t>x</t>
        </is>
      </c>
    </row>
    <row r="93">
      <c r="A93" s="25" t="inlineStr">
        <is>
          <t>Motorkabel</t>
        </is>
      </c>
      <c r="B93" s="47" t="inlineStr">
        <is>
          <t>nein</t>
        </is>
      </c>
      <c r="C93" s="27" t="n"/>
      <c r="D93" s="27" t="n"/>
      <c r="E93" s="27" t="n"/>
      <c r="F93" s="27" t="n"/>
      <c r="G93" s="27" t="inlineStr">
        <is>
          <t>x</t>
        </is>
      </c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  <c r="AE93" s="25" t="n"/>
      <c r="AF93" s="25" t="n"/>
      <c r="AG93" s="25" t="n"/>
      <c r="AH93" s="25" t="n"/>
      <c r="AI93" s="25" t="n"/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5" t="n"/>
      <c r="AS93" s="25" t="n"/>
      <c r="AT93" s="25" t="n"/>
      <c r="AU93" s="25" t="n"/>
      <c r="AV93" s="25" t="n"/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25" t="n"/>
      <c r="BM93" s="25" t="n"/>
    </row>
    <row r="94">
      <c r="A94" s="28" t="inlineStr">
        <is>
          <t>Rahmen / Gestell (einmalig) inkl. Mwst.</t>
        </is>
      </c>
      <c r="C94" s="30" t="n"/>
      <c r="D94" s="30" t="n"/>
      <c r="E94" s="30" t="n"/>
      <c r="F94" s="30">
        <f>SUM(F6:F24)</f>
        <v/>
      </c>
      <c r="G94" s="38" t="n"/>
    </row>
    <row r="95">
      <c r="A95" s="28" t="inlineStr">
        <is>
          <t>Rahmen / Gestell (einmalig) exkl. Mwst.</t>
        </is>
      </c>
      <c r="C95" s="30" t="n"/>
      <c r="D95" s="30" t="n"/>
      <c r="E95" s="30" t="n"/>
      <c r="F95" s="32">
        <f>F94/1.19</f>
        <v/>
      </c>
      <c r="G95" s="38" t="n"/>
    </row>
    <row r="96">
      <c r="C96" s="38" t="n"/>
      <c r="D96" s="38" t="n"/>
      <c r="E96" s="38" t="n"/>
      <c r="F96" s="38" t="n"/>
      <c r="G96" s="38" t="n"/>
    </row>
    <row r="97">
      <c r="A97" s="28" t="inlineStr">
        <is>
          <t>je weitere Probe inkl. Mwst.</t>
        </is>
      </c>
      <c r="C97" s="30" t="n"/>
      <c r="D97" s="30" t="n"/>
      <c r="E97" s="30" t="n"/>
      <c r="F97" s="32">
        <f>SUM(F27:F93)</f>
        <v/>
      </c>
      <c r="G97" s="38" t="n"/>
    </row>
    <row r="98">
      <c r="A98" s="28" t="inlineStr">
        <is>
          <t>je weitere Probe exkl. Mwst.</t>
        </is>
      </c>
      <c r="C98" s="30" t="n"/>
      <c r="D98" s="30" t="n"/>
      <c r="E98" s="30" t="n"/>
      <c r="F98" s="32">
        <f>F97/1.19</f>
        <v/>
      </c>
      <c r="G98" s="38" t="n"/>
    </row>
    <row r="99">
      <c r="A99" s="28" t="n"/>
      <c r="C99" s="30" t="n"/>
      <c r="D99" s="30" t="n"/>
      <c r="E99" s="30" t="n"/>
      <c r="F99" s="32" t="n"/>
      <c r="G99" s="38" t="n"/>
    </row>
    <row r="100">
      <c r="A100" s="28" t="inlineStr">
        <is>
          <t>Prototyp = Rahmen mit 1 x Probe inkl. Mwst.</t>
        </is>
      </c>
      <c r="C100" s="30" t="n"/>
      <c r="D100" s="30" t="n"/>
      <c r="E100" s="30" t="n"/>
      <c r="F100" s="32">
        <f>SUM(F6:F93)</f>
        <v/>
      </c>
      <c r="G100" s="32" t="n"/>
    </row>
    <row r="101">
      <c r="A101" s="28" t="inlineStr">
        <is>
          <t>Prototyp = Rahmen mit 1 x Probe exkl. Mwst.</t>
        </is>
      </c>
      <c r="C101" s="30" t="n"/>
      <c r="D101" s="30" t="n"/>
      <c r="E101" s="30" t="n"/>
      <c r="F101" s="32">
        <f>F100/1.19</f>
        <v/>
      </c>
      <c r="G101" s="32" t="n"/>
    </row>
    <row r="102">
      <c r="A102" s="28" t="n"/>
      <c r="C102" s="30" t="n"/>
      <c r="D102" s="30" t="n"/>
      <c r="E102" s="30" t="n"/>
      <c r="F102" s="30" t="n"/>
      <c r="G102" s="30" t="n"/>
    </row>
    <row r="103">
      <c r="A103" s="28" t="inlineStr">
        <is>
          <t>Vollausbau = Rahmen + 4 x Probe inkl. Mwst.</t>
        </is>
      </c>
      <c r="C103" s="30" t="n"/>
      <c r="D103" s="30" t="n"/>
      <c r="E103" s="30" t="n"/>
      <c r="F103" s="32">
        <f>F100+3*F97</f>
        <v/>
      </c>
      <c r="G103" s="32" t="n"/>
    </row>
    <row r="104">
      <c r="A104" s="28" t="inlineStr">
        <is>
          <t>Vollausbau = Rahmen + 4 x Probe exkl. Mwst.</t>
        </is>
      </c>
      <c r="C104" s="30" t="n"/>
      <c r="D104" s="30" t="n"/>
      <c r="E104" s="30" t="n"/>
      <c r="F104" s="32">
        <f>F103/1.19</f>
        <v/>
      </c>
      <c r="G104" s="32" t="n"/>
    </row>
    <row r="107" ht="15.75" customHeight="1" s="40">
      <c r="A107" s="8" t="inlineStr">
        <is>
          <t>Farbcode Hersteller</t>
        </is>
      </c>
      <c r="C107" s="9" t="n"/>
    </row>
    <row r="108">
      <c r="A108" s="10" t="inlineStr">
        <is>
          <t>DOLD Mechatronik: https://www.dold-mechatronik.de</t>
        </is>
      </c>
      <c r="C108" s="38" t="inlineStr">
        <is>
          <t>x</t>
        </is>
      </c>
    </row>
    <row r="109">
      <c r="A109" s="16" t="inlineStr">
        <is>
          <t>Nanotec: https://de.nanotec.com</t>
        </is>
      </c>
      <c r="C109" s="38" t="inlineStr">
        <is>
          <t>x</t>
        </is>
      </c>
    </row>
    <row r="110">
      <c r="A110" s="19" t="inlineStr">
        <is>
          <t>igus: https://www.igus.de</t>
        </is>
      </c>
      <c r="C110" s="38" t="inlineStr">
        <is>
          <t>x</t>
        </is>
      </c>
    </row>
    <row r="111">
      <c r="A111" s="12" t="inlineStr">
        <is>
          <t>Teleskopschienen24: https://www.teleskopschienen24.de/</t>
        </is>
      </c>
      <c r="C111" s="38" t="inlineStr">
        <is>
          <t>x</t>
        </is>
      </c>
    </row>
    <row r="112">
      <c r="A112" s="15" t="inlineStr">
        <is>
          <t>Motedis: https://www.motedis.com/</t>
        </is>
      </c>
      <c r="C112" s="38" t="inlineStr">
        <is>
          <t>x</t>
        </is>
      </c>
      <c r="F112" s="33" t="n"/>
    </row>
    <row r="113">
      <c r="A113" s="20" t="inlineStr">
        <is>
          <t>Amazon: https://www.amazon.de</t>
        </is>
      </c>
      <c r="C113" s="38" t="inlineStr">
        <is>
          <t>x</t>
        </is>
      </c>
      <c r="F113" s="39" t="n"/>
    </row>
    <row r="114">
      <c r="A114" s="14" t="inlineStr">
        <is>
          <t>Laserteile4you: https://www.laserteile4you.de/home.html</t>
        </is>
      </c>
      <c r="C114" s="38" t="inlineStr">
        <is>
          <t>x</t>
        </is>
      </c>
    </row>
  </sheetData>
  <pageMargins left="0" right="0" top="0.3937007874015748" bottom="0.3937007874015748" header="0" footer="0"/>
  <headerFooter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10" defaultRowHeight="12.75"/>
  <cols>
    <col width="54" customWidth="1" style="40" min="1" max="1"/>
    <col width="48" customWidth="1" style="38" min="2" max="2"/>
    <col width="7.42578125" customWidth="1" style="38" min="3" max="3"/>
    <col width="19.7109375" customWidth="1" style="38" min="4" max="4"/>
    <col width="26.28515625" customWidth="1" style="38" min="5" max="5"/>
    <col width="8.7109375" customWidth="1" style="40" min="6" max="6"/>
    <col width="18.85546875" customWidth="1" style="40" min="7" max="7"/>
    <col width="137.5703125" customWidth="1" style="40" min="8" max="1023"/>
    <col width="12.140625" customWidth="1" style="40" min="9" max="9"/>
  </cols>
  <sheetData>
    <row r="1" ht="18" customHeight="1" s="40">
      <c r="A1" s="1" t="inlineStr">
        <is>
          <t>BOM Probe Upgrade</t>
        </is>
      </c>
    </row>
    <row r="2" ht="18" customHeight="1" s="40">
      <c r="A2" s="1" t="n"/>
    </row>
    <row r="3">
      <c r="A3" s="28" t="inlineStr">
        <is>
          <t>Teil</t>
        </is>
      </c>
      <c r="B3" s="45" t="inlineStr">
        <is>
          <t>DOLD-Angebot AN2026-104489</t>
        </is>
      </c>
      <c r="C3" s="30" t="inlineStr">
        <is>
          <t>Menge</t>
        </is>
      </c>
      <c r="D3" s="30" t="inlineStr">
        <is>
          <t>Preis inkl. Mwst. In €</t>
        </is>
      </c>
      <c r="E3" s="30" t="inlineStr">
        <is>
          <t>Gesamtpreis inkl. Mwst. In €</t>
        </is>
      </c>
      <c r="F3" s="30" t="n"/>
      <c r="G3" s="28" t="inlineStr">
        <is>
          <t>Anmerkung</t>
        </is>
      </c>
      <c r="H3" s="28" t="inlineStr">
        <is>
          <t>Link</t>
        </is>
      </c>
    </row>
    <row r="5">
      <c r="A5" t="inlineStr">
        <is>
          <t>Smoothieboard ohne Stepper Treiber</t>
        </is>
      </c>
      <c r="B5" s="47" t="inlineStr">
        <is>
          <t>nein</t>
        </is>
      </c>
      <c r="C5" s="38" t="n">
        <v>2</v>
      </c>
      <c r="D5" s="38" t="n">
        <v>25.99</v>
      </c>
      <c r="E5" s="38" t="n">
        <v>51.98</v>
      </c>
      <c r="F5" s="38" t="n"/>
      <c r="H5" t="inlineStr">
        <is>
          <t>https://www.amazon.de/gp/product/B07P73VWHK/</t>
        </is>
      </c>
    </row>
    <row r="6">
      <c r="A6" t="inlineStr">
        <is>
          <t>4 x TMC2130 V2.0 Motortreiber</t>
        </is>
      </c>
      <c r="B6" s="47" t="inlineStr">
        <is>
          <t>nein</t>
        </is>
      </c>
      <c r="C6" s="38" t="n">
        <v>2</v>
      </c>
      <c r="D6" s="38" t="n">
        <v>33.99</v>
      </c>
      <c r="E6" s="38" t="n">
        <v>67.98</v>
      </c>
      <c r="F6" s="38" t="n"/>
      <c r="H6" t="inlineStr">
        <is>
          <t>https://www.amazon.de/PoPprint-SPI-Motortreiber-K%C3%BChlk%C3%B6rper-Verwendung-Goldablagerungstechnologie/dp/B07Q9JKK23/</t>
        </is>
      </c>
    </row>
    <row r="7">
      <c r="A7" t="inlineStr">
        <is>
          <t>Schrittmotor Nanotec NEMA 17 5St</t>
        </is>
      </c>
      <c r="B7" s="47" t="inlineStr">
        <is>
          <t>nein</t>
        </is>
      </c>
      <c r="C7" s="38" t="n">
        <v>2</v>
      </c>
      <c r="D7" s="37" t="n">
        <v>34.99</v>
      </c>
      <c r="E7" s="38">
        <f>C7*D7</f>
        <v/>
      </c>
      <c r="F7" s="38" t="n"/>
      <c r="H7" t="inlineStr">
        <is>
          <t>https://www.amazon.de/Schrittmotor-56-2oz-2-Phasen-4-Draht-Drucker/dp/B06Y4NYJWN/</t>
        </is>
      </c>
    </row>
    <row r="8">
      <c r="A8" t="inlineStr">
        <is>
          <t>Ritzel 6St</t>
        </is>
      </c>
      <c r="B8" s="48" t="inlineStr">
        <is>
          <t>Typ ja, Menge nein – wie Pos 35 46088</t>
        </is>
      </c>
      <c r="C8" s="38" t="n">
        <v>2</v>
      </c>
      <c r="D8" s="38" t="n">
        <v>6.99</v>
      </c>
      <c r="E8" s="38">
        <f>C8*D8</f>
        <v/>
      </c>
      <c r="F8" s="38" t="n"/>
      <c r="H8" t="inlineStr">
        <is>
          <t>https://www.amazon.de/dp/B07SX1N19C/</t>
        </is>
      </c>
    </row>
    <row r="9">
      <c r="A9" t="inlineStr">
        <is>
          <t>Umlenkrollen 5St</t>
        </is>
      </c>
      <c r="B9" s="48" t="inlineStr">
        <is>
          <t>Typ ja, Menge nein – wie Pos 36 46132</t>
        </is>
      </c>
      <c r="C9" s="38" t="n">
        <v>2</v>
      </c>
      <c r="D9" s="38" t="n">
        <v>8.99</v>
      </c>
      <c r="E9" s="38">
        <f>C9*D9</f>
        <v/>
      </c>
      <c r="F9" s="38" t="n"/>
      <c r="H9" t="inlineStr">
        <is>
          <t>https://www.amazon.de/Redrex-Bohrung-Zahnriemen-Spannrolle-3D-Drucker/dp/B01LO0IGZU/</t>
        </is>
      </c>
    </row>
    <row r="10">
      <c r="A10" t="inlineStr">
        <is>
          <t>Endschalter induktiv M8</t>
        </is>
      </c>
      <c r="B10" s="47" t="inlineStr">
        <is>
          <t>nein (Angebot nur M12, AI905)</t>
        </is>
      </c>
      <c r="C10" s="38" t="n">
        <v>8</v>
      </c>
      <c r="D10" s="38" t="n">
        <v>6.89</v>
      </c>
      <c r="E10" s="38">
        <f>C10*D10</f>
        <v/>
      </c>
      <c r="F10" s="38" t="n"/>
      <c r="H10" t="inlineStr">
        <is>
          <t>https://www.amazon.de/Induktive-Näherungsschalter-LJ8-A3-2-z-BX-Normalerweise/dp/B072Q68493/</t>
        </is>
      </c>
    </row>
    <row r="11">
      <c r="A11" t="inlineStr">
        <is>
          <t>Zahnriemen GT2, 6mm, 5m</t>
        </is>
      </c>
      <c r="B11" s="48" t="inlineStr">
        <is>
          <t>Typ ja, Menge nein – wie Pos 37 46194 (1 m)</t>
        </is>
      </c>
      <c r="C11" s="38" t="n">
        <v>1</v>
      </c>
      <c r="D11" s="38" t="n">
        <v>8.99</v>
      </c>
      <c r="E11" s="38">
        <f>C11*D11</f>
        <v/>
      </c>
      <c r="F11" s="38" t="n"/>
      <c r="H11" t="inlineStr">
        <is>
          <t>https://www.amazon.de/OZUAR-Zahnriemen-3D-Drucker-Breite-Abstand/dp/B07D4GCYXW/</t>
        </is>
      </c>
    </row>
    <row r="12">
      <c r="A12" t="inlineStr">
        <is>
          <t>Schrittmotor NEMA 14</t>
        </is>
      </c>
      <c r="B12" s="47" t="inlineStr">
        <is>
          <t>nein</t>
        </is>
      </c>
      <c r="C12" s="38" t="n">
        <v>2</v>
      </c>
      <c r="D12" s="38" t="n">
        <v>13.99</v>
      </c>
      <c r="E12" s="38">
        <f>C12*D12</f>
        <v/>
      </c>
      <c r="F12" s="38" t="n"/>
      <c r="H12" t="inlineStr">
        <is>
          <t>https://www.amazon.de/STEPPERONLINE-Schrittmotor-Pinter-Makerbot-Reprap/dp/B077XSG86T/</t>
        </is>
      </c>
    </row>
    <row r="13">
      <c r="A13" t="inlineStr">
        <is>
          <t>Zylinderschraube DIN912, M3x8</t>
        </is>
      </c>
      <c r="B13" s="47" t="inlineStr">
        <is>
          <t>nein</t>
        </is>
      </c>
      <c r="C13" s="38" t="n">
        <v>1</v>
      </c>
      <c r="D13" s="39" t="n">
        <v>4.19</v>
      </c>
      <c r="E13" s="38">
        <f>C13*D13</f>
        <v/>
      </c>
      <c r="F13" s="38" t="n"/>
      <c r="G13" t="inlineStr">
        <is>
          <t>32st benötigt → 50er pack</t>
        </is>
      </c>
      <c r="H13" t="inlineStr">
        <is>
          <t>https://www.amazon.de/Zylinderschrauben-mit-Innensechskant-Vollgewinde-Zylinderkopfschrauben/dp/B01IMGYPJU/</t>
        </is>
      </c>
    </row>
    <row r="14">
      <c r="A14" t="inlineStr">
        <is>
          <t>Zylinderschraube DIN7991, M3x8</t>
        </is>
      </c>
      <c r="B14" s="47" t="inlineStr">
        <is>
          <t>nein</t>
        </is>
      </c>
      <c r="C14" s="38" t="n">
        <v>1</v>
      </c>
      <c r="D14" s="39" t="n">
        <v>3</v>
      </c>
      <c r="E14" s="38">
        <f>C14*D14</f>
        <v/>
      </c>
      <c r="F14" s="38" t="n"/>
      <c r="G14" t="inlineStr">
        <is>
          <t>32st benötigt → 50er pack</t>
        </is>
      </c>
      <c r="H14" t="inlineStr">
        <is>
          <t>https://www.amazon.de/Senkkopfschrauben-Edelstahl-Senkschrauben-Innensechskant-Vollgewinde/dp/B06WVJJFX1/</t>
        </is>
      </c>
    </row>
    <row r="15">
      <c r="A15" t="inlineStr">
        <is>
          <t>USB Hub</t>
        </is>
      </c>
      <c r="B15" s="47" t="inlineStr">
        <is>
          <t>nein</t>
        </is>
      </c>
      <c r="C15" s="38" t="n">
        <v>1</v>
      </c>
      <c r="D15" s="39" t="n">
        <v>9.99</v>
      </c>
      <c r="E15" s="38">
        <f>C15*D15</f>
        <v/>
      </c>
      <c r="F15" s="38" t="n"/>
      <c r="H15" t="inlineStr">
        <is>
          <t>https://www.amazon.de/Anker-Datenhub-Ultrabooks-weiteren-kompatiblen/dp/B00Y211AFM/</t>
        </is>
      </c>
    </row>
    <row r="16">
      <c r="D16" s="39" t="n"/>
      <c r="E16" s="38" t="n"/>
      <c r="F16" s="38" t="n"/>
    </row>
    <row r="17">
      <c r="D17" s="39" t="n"/>
      <c r="E17" s="38" t="n"/>
      <c r="F17" s="38" t="n"/>
    </row>
    <row r="18">
      <c r="A18" t="inlineStr">
        <is>
          <t>Wellenhalter Flansch SHF10</t>
        </is>
      </c>
      <c r="B18" s="47" t="inlineStr">
        <is>
          <t>nein</t>
        </is>
      </c>
      <c r="C18" s="38" t="n">
        <v>8</v>
      </c>
      <c r="D18" s="37" t="n">
        <v>3.8</v>
      </c>
      <c r="E18" s="38">
        <f>C18*D18</f>
        <v/>
      </c>
      <c r="F18" s="37" t="n"/>
      <c r="H18" t="inlineStr">
        <is>
          <t>https://www.dold-mechatronik.de/Wellenhalter-Flansch-SHF10</t>
        </is>
      </c>
    </row>
    <row r="19">
      <c r="A19" t="inlineStr">
        <is>
          <t>Welle 10mm x 450</t>
        </is>
      </c>
      <c r="B19" s="48" t="inlineStr">
        <is>
          <t>Typ ja, Menge nein – wie Pos 26 32067-STL-GW-450</t>
        </is>
      </c>
      <c r="C19" s="38" t="n">
        <v>4</v>
      </c>
      <c r="D19" s="37" t="n">
        <v>7.5</v>
      </c>
      <c r="E19" s="38">
        <f>C19*D19</f>
        <v/>
      </c>
      <c r="F19" s="38" t="n"/>
      <c r="H19" t="inlineStr">
        <is>
          <t>https://www.dold-mechatronik.de/Praezisionswelle-10mm-h6-Edelstahl-X46CR13-Linearwellen-geschlifen-und-gehaertet-ZUSCHNITT-bis-1200mm-16-EUR-m-030-EUR-pro-Schnitt</t>
        </is>
      </c>
    </row>
    <row r="20">
      <c r="A20" t="inlineStr">
        <is>
          <t>Aluprofil 40x16E I-Typ, 436mm</t>
        </is>
      </c>
      <c r="B20" s="47" t="inlineStr">
        <is>
          <t>nein</t>
        </is>
      </c>
      <c r="C20" s="38" t="n">
        <v>2</v>
      </c>
      <c r="D20" s="38" t="n">
        <v>2.87</v>
      </c>
      <c r="E20" s="38">
        <f>C20*D20</f>
        <v/>
      </c>
      <c r="F20" s="38" t="n"/>
      <c r="H20" t="inlineStr">
        <is>
          <t>https://www.dold-mechatronik.de/Aluminiumprofil-40x16E-I-Typ-Nut-8-ZUSCHNITT-bis-1200-mm-600-EUR-m-025-EUR-pro-Schnitt</t>
        </is>
      </c>
    </row>
    <row r="21">
      <c r="A21" t="inlineStr">
        <is>
          <t>Vollkunststoffgleitlager RJMP DryLin igus, D10</t>
        </is>
      </c>
      <c r="B21" s="48" t="inlineStr">
        <is>
          <t>Typ ja, Menge nein – wie Pos 32 76993-VK</t>
        </is>
      </c>
      <c r="C21" s="38" t="n">
        <v>8</v>
      </c>
      <c r="D21" s="38" t="n">
        <v>4.2</v>
      </c>
      <c r="E21" s="38">
        <f>C21*D21</f>
        <v/>
      </c>
      <c r="F21" s="37" t="n"/>
      <c r="H21" t="inlineStr">
        <is>
          <t>https://www.dold-mechatronik.de/Vollkunststofflager-RJMP-01-10-DryLinZ-von-igusZ</t>
        </is>
      </c>
    </row>
    <row r="22">
      <c r="A22" t="inlineStr">
        <is>
          <t>Profilschienenführung, MR12, 150mm, Edelstahl</t>
        </is>
      </c>
      <c r="B22" s="48" t="inlineStr">
        <is>
          <t>Typ ja, Menge nein – wie Pos 40 78553-150</t>
        </is>
      </c>
      <c r="C22" s="38" t="n">
        <v>2</v>
      </c>
      <c r="D22" s="39" t="n">
        <v>20.55</v>
      </c>
      <c r="E22" s="38">
        <f>C22*D22</f>
        <v/>
      </c>
      <c r="F22" s="38" t="n"/>
      <c r="H22" t="inlineStr">
        <is>
          <t>https://www.dold-mechatronik.de/Linearfuehrung-MR-12-M-Edelstahl-150mm</t>
        </is>
      </c>
    </row>
    <row r="23">
      <c r="A23" t="inlineStr">
        <is>
          <t>Zylinderschraube DIN912, M5x10</t>
        </is>
      </c>
      <c r="B23" s="47" t="inlineStr">
        <is>
          <t>nein</t>
        </is>
      </c>
      <c r="C23" s="38" t="n">
        <v>28</v>
      </c>
      <c r="D23" s="39" t="n">
        <v>0.14</v>
      </c>
      <c r="E23" s="38" t="n">
        <v>3.92</v>
      </c>
      <c r="F23" s="38" t="n"/>
      <c r="H23" t="inlineStr">
        <is>
          <t>https://www.dold-mechatronik.de/DIN-912-Zylinderschraube-mit-Innensechskant-88-verzinkt-M5x10</t>
        </is>
      </c>
    </row>
    <row r="24">
      <c r="A24" t="inlineStr">
        <is>
          <t>Zylinderschraube DIN7991, M6x12</t>
        </is>
      </c>
      <c r="B24" s="47" t="inlineStr">
        <is>
          <t>nein</t>
        </is>
      </c>
      <c r="C24" s="38" t="n">
        <v>10</v>
      </c>
      <c r="D24" s="39" t="n">
        <v>0.25</v>
      </c>
      <c r="E24" s="38" t="n">
        <v>2.5</v>
      </c>
      <c r="F24" s="38" t="n"/>
      <c r="H24" t="inlineStr">
        <is>
          <t>https://www.dold-mechatronik.de/DIN-7991-Senkschraube-mit-Innensechskant-88-verzinkt-M6x12</t>
        </is>
      </c>
    </row>
    <row r="25">
      <c r="A25" t="inlineStr">
        <is>
          <t>Teller 40, für Gelenkstellfuß Kugel 10mm, Kunststoff</t>
        </is>
      </c>
      <c r="B25" s="47" t="inlineStr">
        <is>
          <t>nein (nur als Teil von Pos 1)</t>
        </is>
      </c>
      <c r="C25" s="38" t="n">
        <v>1</v>
      </c>
      <c r="D25" s="39" t="n">
        <v>0.53</v>
      </c>
      <c r="E25" s="38" t="n">
        <v>0.53</v>
      </c>
      <c r="F25" s="38" t="n"/>
      <c r="H25" t="inlineStr">
        <is>
          <t>https://www.dold-mechatronik.de/Teller-40-fuer-Gelenkstellfuss-Kugel-10mm-Kunststoff</t>
        </is>
      </c>
    </row>
    <row r="26">
      <c r="A26" t="inlineStr">
        <is>
          <t>Zylinderschraube DIN912, M3x12</t>
        </is>
      </c>
      <c r="B26" s="48" t="inlineStr">
        <is>
          <t>Typ ja, Menge nein – wie Pos 14 DIN912-3x12</t>
        </is>
      </c>
      <c r="C26" s="38" t="n">
        <v>4</v>
      </c>
      <c r="D26" s="39" t="n">
        <v>0.14</v>
      </c>
      <c r="E26" s="38" t="n">
        <v>0.5600000000000001</v>
      </c>
      <c r="F26" s="38" t="n"/>
      <c r="H26" t="inlineStr">
        <is>
          <t>https://www.dold-mechatronik.de/DIN-912-Zylinderschraube-mit-Innensechskant-88-verzinkt-M3x12</t>
        </is>
      </c>
    </row>
    <row r="27">
      <c r="A27" t="inlineStr">
        <is>
          <t>Zylinderschraube DIN912, M3x10</t>
        </is>
      </c>
      <c r="B27" s="48" t="inlineStr">
        <is>
          <t>Typ ja, Menge nein – wie Pos 13 DIN912-3x10</t>
        </is>
      </c>
      <c r="C27" s="38" t="n">
        <v>70</v>
      </c>
      <c r="D27" s="39" t="n">
        <v>0.11</v>
      </c>
      <c r="E27" s="38" t="n">
        <v>7.7</v>
      </c>
      <c r="F27" s="38" t="n"/>
      <c r="H27" t="inlineStr">
        <is>
          <t>https://www.dold-mechatronik.de/DIN-912-Zylinderschraube-mit-Innensechskant-88-verzinkt-M3x10</t>
        </is>
      </c>
    </row>
    <row r="28">
      <c r="D28" s="39" t="n"/>
      <c r="E28" s="38" t="n"/>
      <c r="F28" s="38" t="n"/>
    </row>
    <row r="29">
      <c r="D29" s="39" t="n"/>
      <c r="E29" s="38" t="n"/>
      <c r="F29" s="38" t="n"/>
    </row>
    <row r="30">
      <c r="A30" t="inlineStr">
        <is>
          <t>Seitenplatten, Stahl, gelasert, 5mm</t>
        </is>
      </c>
      <c r="B30" s="47" t="inlineStr">
        <is>
          <t>nein</t>
        </is>
      </c>
      <c r="C30" t="n">
        <v>4</v>
      </c>
      <c r="D30" t="n">
        <v>75</v>
      </c>
      <c r="E30" s="38">
        <f>C30*D30</f>
        <v/>
      </c>
    </row>
    <row r="31">
      <c r="E31" s="38" t="n"/>
    </row>
    <row r="32">
      <c r="D32" s="39" t="n"/>
      <c r="E32" s="38" t="n"/>
      <c r="F32" s="38" t="n"/>
    </row>
    <row r="33">
      <c r="D33" s="39" t="n"/>
      <c r="E33" s="38" t="n"/>
      <c r="F33" s="38" t="n"/>
    </row>
    <row r="34">
      <c r="D34" s="39" t="n"/>
      <c r="E34" s="38" t="n"/>
      <c r="F34" s="38" t="n"/>
    </row>
    <row r="35">
      <c r="E35" s="38" t="n"/>
    </row>
    <row r="37" customFormat="1" s="44">
      <c r="A37" s="44" t="inlineStr">
        <is>
          <t>Zylinderschraube DIN912, M3x20</t>
        </is>
      </c>
      <c r="B37" s="47" t="inlineStr">
        <is>
          <t>nein</t>
        </is>
      </c>
      <c r="C37" s="43" t="n">
        <v>2</v>
      </c>
      <c r="D37" s="43" t="n"/>
      <c r="E37" s="43" t="n"/>
      <c r="F37" s="43" t="n"/>
      <c r="G37" s="44" t="n"/>
    </row>
    <row r="38" customFormat="1" s="44">
      <c r="A38" s="44" t="inlineStr">
        <is>
          <t>Zylinderschraube DIN912, M3x16</t>
        </is>
      </c>
      <c r="B38" s="47" t="inlineStr">
        <is>
          <t>nein</t>
        </is>
      </c>
      <c r="C38" s="43" t="n">
        <v>6</v>
      </c>
      <c r="D38" s="43" t="n"/>
      <c r="E38" s="43" t="n"/>
      <c r="F38" s="43" t="n"/>
      <c r="G38" s="44" t="n"/>
    </row>
    <row r="39" customFormat="1" s="44">
      <c r="A39" s="44" t="inlineStr">
        <is>
          <t>Zylinderschraube DIN912, M4x20</t>
        </is>
      </c>
      <c r="B39" s="47" t="inlineStr">
        <is>
          <t>nein (Angebot: DIN7984-4x20)</t>
        </is>
      </c>
      <c r="C39" s="43" t="n">
        <v>6</v>
      </c>
      <c r="D39" s="43" t="n"/>
      <c r="E39" s="43" t="n"/>
      <c r="F39" s="43" t="n"/>
      <c r="G39" s="44" t="inlineStr">
        <is>
          <t>https://www.dold-mechatronik.de/DIN-912-Zylinderschraube-mit-Innensechskant-88-verzinkt-M4x20</t>
        </is>
      </c>
    </row>
    <row r="40" customFormat="1" s="44">
      <c r="A40" s="44" t="inlineStr">
        <is>
          <t>Zylinderschraube DIN912, M4x30</t>
        </is>
      </c>
      <c r="B40" s="47" t="inlineStr">
        <is>
          <t>nein</t>
        </is>
      </c>
      <c r="C40" s="43" t="n">
        <v>14</v>
      </c>
      <c r="D40" s="43" t="n"/>
      <c r="E40" s="43" t="n"/>
      <c r="F40" s="43" t="n"/>
      <c r="G40" s="44" t="n"/>
    </row>
    <row r="44">
      <c r="C44" s="38" t="n"/>
      <c r="D44" s="38" t="n"/>
      <c r="E44" s="38" t="n"/>
      <c r="F44" s="38" t="n"/>
    </row>
    <row r="45">
      <c r="A45" s="28" t="n"/>
      <c r="C45" s="30" t="n"/>
      <c r="D45" s="30" t="n"/>
      <c r="E45" s="32" t="n"/>
      <c r="F45" s="38" t="n"/>
    </row>
    <row r="46">
      <c r="A46" s="28" t="n"/>
      <c r="C46" s="30" t="n"/>
      <c r="D46" s="30" t="n"/>
      <c r="E46" s="32" t="n"/>
      <c r="F46" s="38" t="n"/>
    </row>
    <row r="47">
      <c r="A47" s="28" t="n"/>
      <c r="C47" s="30" t="n"/>
      <c r="D47" s="30" t="n"/>
      <c r="E47" s="32" t="n"/>
      <c r="F47" s="38" t="n"/>
    </row>
    <row r="48">
      <c r="A48" s="28" t="n"/>
      <c r="C48" s="30" t="n"/>
      <c r="D48" s="30" t="n"/>
      <c r="E48" s="32" t="n"/>
      <c r="F48" s="32" t="n"/>
    </row>
    <row r="49">
      <c r="A49" s="28" t="n"/>
      <c r="C49" s="30" t="n"/>
      <c r="D49" s="30" t="inlineStr">
        <is>
          <t>Summe:</t>
        </is>
      </c>
      <c r="E49" s="32">
        <f>SUM(E4:E45)</f>
        <v/>
      </c>
      <c r="F49" s="32" t="n"/>
      <c r="G49">
        <f>SUM(E18:E27)</f>
        <v/>
      </c>
    </row>
    <row r="50">
      <c r="A50" s="28" t="n"/>
      <c r="C50" s="30" t="n"/>
      <c r="D50" s="30" t="n"/>
      <c r="E50" s="30" t="n"/>
      <c r="F50" s="30" t="n"/>
    </row>
    <row r="51">
      <c r="A51" s="28" t="n"/>
      <c r="C51" s="30" t="n"/>
      <c r="D51" s="30" t="n"/>
      <c r="E51" s="32" t="n"/>
      <c r="F51" s="32" t="n"/>
    </row>
    <row r="52">
      <c r="A52" s="28" t="n"/>
      <c r="C52" s="30" t="n"/>
      <c r="D52" s="30" t="n"/>
      <c r="E52" s="32" t="n"/>
      <c r="F52" s="32" t="n"/>
    </row>
    <row r="55" ht="15.75" customHeight="1" s="40">
      <c r="A55" s="8" t="n"/>
    </row>
    <row r="60">
      <c r="E60" s="33" t="n"/>
    </row>
    <row r="61">
      <c r="E61" s="39" t="n"/>
    </row>
  </sheetData>
  <pageMargins left="0" right="0" top="0.3937007874015748" bottom="0.3937007874015748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2017-10-20T23:41:04Z</dcterms:created>
  <dcterms:modified xsi:type="dcterms:W3CDTF">2026-10-26T18:17:10Z</dcterms:modified>
  <cp:lastModifiedBy>luis Kremer</cp:lastModifiedBy>
  <cp:revision>190</cp:revision>
</cp:coreProperties>
</file>