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1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6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Teleskopschienen Vollauszug 45 kg, 350 mm (1 Paar), DOLD HS-4613-350</t>
        </is>
      </c>
      <c r="B10" s="25" t="inlineStr">
        <is>
          <t>nein (nicht im Angebot AN2026-104489) – Art.-Nr. HS-4613-350</t>
        </is>
      </c>
      <c r="C10" s="3" t="inlineStr">
        <is>
          <t>x</t>
        </is>
      </c>
      <c r="D10" s="3" t="n">
        <v>1</v>
      </c>
      <c r="E10" s="3" t="n">
        <v>10.84</v>
      </c>
      <c r="F10" s="3">
        <f>D10*E10</f>
        <v/>
      </c>
      <c r="G10" s="3" t="n"/>
      <c r="H10" t="inlineStr">
        <is>
          <t>ERSATZ für Teleskopschienen24 TS-A 514613-350 (12,50 €/Paar, mit Arretierung). DOLD: 45,7 × 12,7 mm wie CAD, Arretierung nicht angegeben, Lochbild beim Einbau prüfen</t>
        </is>
      </c>
      <c r="I10" t="inlineStr">
        <is>
          <t>https://www.dold-mechatronik.de/Vollauszug-45kg-350mm-(1-Paar-Teleskopschienen)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8" t="inlineStr">
        <is>
          <t>Profilschienenführung, MR12, 600mm, Edelstahl</t>
        </is>
      </c>
      <c r="B22" s="24" t="inlineStr">
        <is>
          <t>nein (nicht im Angebot AN2026-104489) – Art.-Nr. 78553-600</t>
        </is>
      </c>
      <c r="C22" s="3" t="inlineStr">
        <is>
          <t>x</t>
        </is>
      </c>
      <c r="D22" s="3" t="n">
        <v>2</v>
      </c>
      <c r="E22" s="3" t="n">
        <v>82.2</v>
      </c>
      <c r="F22" s="3">
        <f>D22*E22</f>
        <v/>
      </c>
      <c r="G22" s="3" t="n"/>
      <c r="H22" t="inlineStr">
        <is>
          <t>ERSATZ des Motedis-Artikels MR12M-N L=600 (Art. 6111): gleiche Schiene (cpc MR12M, Edelstahl, Genauigkeit N, V0). Preis 82,20 € inkl. 19 % USt. laut DOLD-Shop (Stand 27.10.2026), sofort lieferbar</t>
        </is>
      </c>
      <c r="I22" t="inlineStr">
        <is>
          <t>https://www.dold-mechatronik.de/Linearfuehrung-MR-12-M-Edelstahl-600mm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3" t="inlineStr">
        <is>
          <t>Closed-Loop-Schrittmotor NEMA 14 – StepperOnline 14HS11-1004-ME1K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>
        <f>28.57+6.03</f>
        <v/>
      </c>
      <c r="F27" s="3">
        <f>D27*E27</f>
        <v/>
      </c>
      <c r="G27" s="3" t="inlineStr">
        <is>
          <t>x</t>
        </is>
      </c>
      <c r="H27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27" t="inlineStr">
        <is>
          <t>https://www.omc-stepperonline.com/nema-14-closed-loop-stepper-motor-12-5ncm-17-73oz-in-with-magnetic-encoder-1000ppr-4000cpr-14hs11-1004-me1k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A29" s="13" t="inlineStr">
        <is>
          <t>Closed-Loop-Treiber StepperOnline CL42T-V41</t>
        </is>
      </c>
      <c r="B29" s="25" t="inlineStr">
        <is>
          <t>nein</t>
        </is>
      </c>
      <c r="C29" s="3" t="inlineStr">
        <is>
          <t>x</t>
        </is>
      </c>
      <c r="D29" s="3" t="n">
        <v>2</v>
      </c>
      <c r="E29" s="14">
        <f>33.11+6.16</f>
        <v/>
      </c>
      <c r="F29" s="3">
        <f>D29*E29</f>
        <v/>
      </c>
      <c r="G29" s="3" t="inlineStr">
        <is>
          <t>x</t>
        </is>
      </c>
      <c r="H29" t="inlineStr">
        <is>
          <t>NEU: Closed-Loop-Treiber, ersetzt TMC2130 für diese Achse. Schalter S3 auf 5 V, Pegelwandler 3,3 V → 5 V nötig. Preis = 33,11 € + 6,16 € Aufpreis Lager DE; MwSt. prüfen</t>
        </is>
      </c>
      <c r="I29" t="inlineStr">
        <is>
          <t>https://www.omc-stepperonline.com/closed-loop-stepper-driver-v4-1-0-3-0a-24-48vdc-for-nema-11-14-17-stepper-motor-cl42t-v41</t>
        </is>
      </c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0</v>
      </c>
      <c r="E30" s="3" t="n">
        <v>8.5</v>
      </c>
      <c r="F30" s="3">
        <f>D30*E30</f>
        <v/>
      </c>
      <c r="G30" s="3" t="inlineStr">
        <is>
          <t>x</t>
        </is>
      </c>
      <c r="H30" t="inlineStr">
        <is>
          <t>ENTFÄLLT (Riemenantrieb statt Spindel, Teil nicht im CAD); DOLD-Angebot Pos 15 streichen lassen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M8, LJ8A3-2-Z/BX (NPN, Schließer, 2 mm)</t>
        </is>
      </c>
      <c r="B34" s="24" t="inlineStr">
        <is>
          <t>nein (DOLD-Angebot Pos 16 AI905 M12 passt nicht – streichen lassen)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H34" t="inlineStr">
        <is>
          <t>ERSATZ für M12: CAD-Halter haben 8,1-mm-Bohrung. 2 je Probe (X-min und X-max), wie in der Firmware</t>
        </is>
      </c>
      <c r="I34" t="inlineStr">
        <is>
          <t>https://www.amazon.de/Induktive-N%C3%A4herungsschalter-LJ8-A3-2-z-BX-Normalerweise/dp/B072Q68493/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0</v>
      </c>
      <c r="E37" s="14">
        <f>20.09*1.19</f>
        <v/>
      </c>
      <c r="F37" s="14">
        <f>D37*E37</f>
        <v/>
      </c>
      <c r="G37" s="14" t="inlineStr">
        <is>
          <t>x</t>
        </is>
      </c>
      <c r="H37" t="inlineStr">
        <is>
          <t>ENTFÄLLT (Riemenantrieb statt Spindel, Teil nicht im CAD)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0</v>
      </c>
      <c r="E38" s="3" t="n">
        <v>5.9</v>
      </c>
      <c r="F38" s="3">
        <f>D38*E38</f>
        <v/>
      </c>
      <c r="G38" s="3" t="inlineStr">
        <is>
          <t>x</t>
        </is>
      </c>
      <c r="H38" t="inlineStr">
        <is>
          <t>ENTFÄLLT (Riemenantrieb statt Spindel, Teil nicht im CAD); DOLD-Angebot Pos 17 streichen lassen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0</v>
      </c>
      <c r="E39" s="3" t="n">
        <v>0.15</v>
      </c>
      <c r="F39" s="3">
        <f>D39*E39</f>
        <v/>
      </c>
      <c r="G39" s="3" t="inlineStr">
        <is>
          <t>x</t>
        </is>
      </c>
      <c r="H39" t="inlineStr">
        <is>
          <t>ENTFÄLLT (Riemenantrieb statt Spindel, Teil nicht im CAD); DOLD-Angebot Pos 18 streichen lassen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A47" s="13" t="inlineStr">
        <is>
          <t>Closed-Loop-Treiber StepperOnline CL42T-V41</t>
        </is>
      </c>
      <c r="B47" s="25" t="inlineStr">
        <is>
          <t>nein</t>
        </is>
      </c>
      <c r="C47" s="3" t="inlineStr">
        <is>
          <t>x</t>
        </is>
      </c>
      <c r="D47" s="3" t="n">
        <v>1</v>
      </c>
      <c r="E47" s="14">
        <f>33.11+6.16</f>
        <v/>
      </c>
      <c r="F47" s="14">
        <f>D47*E47</f>
        <v/>
      </c>
      <c r="G47" s="3" t="inlineStr">
        <is>
          <t>x</t>
        </is>
      </c>
      <c r="H47" t="inlineStr">
        <is>
          <t>NEU: Closed-Loop-Treiber, ersetzt TMC2130 für diese Achse. Schalter S3 auf 5 V, Pegelwandler 3,3 V → 5 V nötig. Preis = 33,11 € + 6,16 € Aufpreis Lager DE; MwSt. prüfen</t>
        </is>
      </c>
      <c r="I47" t="inlineStr">
        <is>
          <t>https://www.omc-stepperonline.com/closed-loop-stepper-driver-v4-1-0-3-0a-24-48vdc-for-nema-11-14-17-stepper-motor-cl42t-v41</t>
        </is>
      </c>
    </row>
    <row r="48">
      <c r="A48" s="13" t="inlineStr">
        <is>
          <t>Closed-Loop-Schrittmotor NEMA 14 – StepperOnline 14HS11-1004-ME1K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>
        <f>28.57+6.03</f>
        <v/>
      </c>
      <c r="F48" s="14">
        <f>D48*E48</f>
        <v/>
      </c>
      <c r="G48" s="3" t="inlineStr">
        <is>
          <t>x</t>
        </is>
      </c>
      <c r="H48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48" t="inlineStr">
        <is>
          <t>https://www.omc-stepperonline.com/nema-14-closed-loop-stepper-motor-12-5ncm-17-73oz-in-with-magnetic-encoder-1000ppr-4000cpr-14hs11-1004-me1k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0</v>
      </c>
      <c r="E50" s="3" t="n">
        <v>8.5</v>
      </c>
      <c r="F50" s="3">
        <f>D50*E50</f>
        <v/>
      </c>
      <c r="G50" s="3" t="inlineStr">
        <is>
          <t>x</t>
        </is>
      </c>
      <c r="H50" t="inlineStr">
        <is>
          <t>ENTFÄLLT (Riemenantrieb statt Spindel, Teil nicht im CAD); DOLD-Angebot Pos 24 streichen lassen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0</v>
      </c>
      <c r="E51" s="3" t="n">
        <v>0.5</v>
      </c>
      <c r="F51" s="3">
        <f>D51*E51</f>
        <v/>
      </c>
      <c r="G51" s="3" t="inlineStr">
        <is>
          <t>x</t>
        </is>
      </c>
      <c r="H51" t="inlineStr">
        <is>
          <t>ENTFÄLLT (Riemenantrieb statt Spindel, Teil nicht im CAD); DOLD-Angebot Pos 25 streichen lassen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0</v>
      </c>
      <c r="E52" s="3" t="inlineStr">
        <is>
          <t>?</t>
        </is>
      </c>
      <c r="G52" s="3" t="n"/>
      <c r="H52" t="inlineStr">
        <is>
          <t>ENTFÄLLT (Riemenantrieb statt Spindel, Teil nicht im CAD)</t>
        </is>
      </c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0</v>
      </c>
      <c r="E53" s="10" t="n">
        <v>21.3</v>
      </c>
      <c r="F53" s="3">
        <f>D53*E53</f>
        <v/>
      </c>
      <c r="G53" s="3" t="inlineStr">
        <is>
          <t>x</t>
        </is>
      </c>
      <c r="H53" t="inlineStr">
        <is>
          <t>ENTFÄLLT (Riemenantrieb statt Spindel, Teil nicht im CAD)</t>
        </is>
      </c>
      <c r="I53" t="inlineStr">
        <is>
          <t>https://de.nanotec.com/produkte/446-st3518m1004-a/</t>
        </is>
      </c>
    </row>
    <row r="54">
      <c r="A54" s="8" t="inlineStr">
        <is>
          <t>Wellenhalter Flansch SHF10, D10</t>
        </is>
      </c>
      <c r="B54" s="24" t="inlineStr">
        <is>
          <t>nein (nicht im Angebot AN2026-104489)</t>
        </is>
      </c>
      <c r="C54" s="3" t="inlineStr">
        <is>
          <t>x</t>
        </is>
      </c>
      <c r="D54" s="3" t="n">
        <v>4</v>
      </c>
      <c r="E54" s="3" t="n">
        <v>3.8</v>
      </c>
      <c r="F54" s="3">
        <f>D54*E54</f>
        <v/>
      </c>
      <c r="G54" s="3" t="inlineStr">
        <is>
          <t>x</t>
        </is>
      </c>
      <c r="H54" t="inlineStr">
        <is>
          <t>Halter für die 2 runden X-Führungswellen je Brücke, beidseitig (CAD rod_holder_flange_d10_dold, 16 im Vollausbau)</t>
        </is>
      </c>
      <c r="I54" t="inlineStr">
        <is>
          <t>https://www.dold-mechatronik.de/Wellenhalter-Flansch-SHF-Ausfuehrung-waehlbar</t>
        </is>
      </c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M8, LJ8A3-2-Z/BX (NPN, Schließer, 2 mm)</t>
        </is>
      </c>
      <c r="B59" s="24" t="inlineStr">
        <is>
          <t>nein (DOLD-Angebot Pos 29 AI905 M12 passt nicht – streichen lassen)</t>
        </is>
      </c>
      <c r="C59" s="3" t="inlineStr">
        <is>
          <t>x</t>
        </is>
      </c>
      <c r="D59" s="3" t="n">
        <v>1</v>
      </c>
      <c r="E59" s="3" t="n">
        <v>6.89</v>
      </c>
      <c r="F59" s="3">
        <f>D59*E59</f>
        <v/>
      </c>
      <c r="G59" s="3" t="inlineStr">
        <is>
          <t>x</t>
        </is>
      </c>
      <c r="H59" t="inlineStr">
        <is>
          <t>ERSATZ für M12: CAD-Halter haben 8,1-mm-Bohrung. 1 je Probe (Y-max), wie in der Firmware</t>
        </is>
      </c>
      <c r="I59" t="inlineStr">
        <is>
          <t>https://www.amazon.de/Induktive-N%C3%A4herungsschalter-LJ8-A3-2-z-BX-Normalerweise/dp/B072Q68493/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0</v>
      </c>
      <c r="E67" s="14">
        <f>20.09*1.19</f>
        <v/>
      </c>
      <c r="F67" s="14">
        <f>D67*E67</f>
        <v/>
      </c>
      <c r="G67" s="14" t="inlineStr">
        <is>
          <t>x</t>
        </is>
      </c>
      <c r="H67" t="inlineStr">
        <is>
          <t>ENTFÄLLT (Riemenantrieb statt Spindel, Teil nicht im CAD)</t>
        </is>
      </c>
      <c r="I67" t="inlineStr">
        <is>
          <t>https://www.igus.de/product/847</t>
        </is>
      </c>
    </row>
    <row r="68">
      <c r="A68" s="13" t="inlineStr">
        <is>
          <t>Closed-Loop-Treiber StepperOnline CL42T-V41</t>
        </is>
      </c>
      <c r="B68" s="25" t="inlineStr">
        <is>
          <t>nein</t>
        </is>
      </c>
      <c r="C68" t="inlineStr">
        <is>
          <t>x</t>
        </is>
      </c>
      <c r="D68" s="3" t="n">
        <v>1</v>
      </c>
      <c r="E68" s="14">
        <f>33.11+6.16</f>
        <v/>
      </c>
      <c r="F68" s="14">
        <f>D68*E68</f>
        <v/>
      </c>
      <c r="G68" s="3" t="inlineStr">
        <is>
          <t>x</t>
        </is>
      </c>
      <c r="H68" t="inlineStr">
        <is>
          <t>NEU: Closed-Loop-Treiber, ersetzt TMC2130 für diese Achse. Schalter S3 auf 5 V, Pegelwandler 3,3 V → 5 V nötig. Preis = 33,11 € + 6,16 € Aufpreis Lager DE; MwSt. prüfen</t>
        </is>
      </c>
      <c r="I68" t="inlineStr">
        <is>
          <t>https://www.omc-stepperonline.com/closed-loop-stepper-driver-v4-1-0-3-0a-24-48vdc-for-nema-11-14-17-stepper-motor-cl42t-v41</t>
        </is>
      </c>
    </row>
    <row r="69">
      <c r="A69" s="13" t="inlineStr">
        <is>
          <t>Closed-Loop-Schrittmotor NEMA 14 – StepperOnline 14HS11-1004-ME1K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>
        <f>28.57+6.03</f>
        <v/>
      </c>
      <c r="F69" s="14">
        <f>D69*E69</f>
        <v/>
      </c>
      <c r="G69" s="3" t="inlineStr">
        <is>
          <t>x</t>
        </is>
      </c>
      <c r="H69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69" t="inlineStr">
        <is>
          <t>https://www.omc-stepperonline.com/nema-14-closed-loop-stepper-motor-12-5ncm-17-73oz-in-with-magnetic-encoder-1000ppr-4000cpr-14hs11-1004-me1k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Zähne, Bohrung 5 mm (X, Y, Z)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4</v>
      </c>
      <c r="E71" s="14" t="n">
        <v>2.9</v>
      </c>
      <c r="F71" s="3">
        <f>D71*E71</f>
        <v/>
      </c>
      <c r="G71" s="3" t="inlineStr">
        <is>
          <t>x</t>
        </is>
      </c>
      <c r="H71" t="inlineStr">
        <is>
          <t>ANPASSUNG: 4 je Probe = 2 × X-Motor, 1 × Y-Motor, 1 × Z-Motor. DOLD-Angebot Pos 35 nur 1 Stk → auf 16 erhöhen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Zähne, mit Kugellager, Bohrung 3 mm (X, Y, Z)</t>
        </is>
      </c>
      <c r="B72" s="24" t="inlineStr">
        <is>
          <t>ja – Pos 36 46132</t>
        </is>
      </c>
      <c r="C72" t="inlineStr">
        <is>
          <t>x</t>
        </is>
      </c>
      <c r="D72" s="3" t="n">
        <v>4</v>
      </c>
      <c r="E72" s="14" t="n">
        <v>3.2</v>
      </c>
      <c r="F72" s="3">
        <f>D72*E72</f>
        <v/>
      </c>
      <c r="G72" s="3" t="inlineStr">
        <is>
          <t>x</t>
        </is>
      </c>
      <c r="H72" t="inlineStr">
        <is>
          <t>ANPASSUNG: 4 je Probe = 2 × X-Riemenspanner, 1 × Y-Riemenspanner, 1 × Z-Umlenkung (CAD zeigt 20, davon 8 doppelt gezeichnet). DOLD-Angebot Pos 36 nur 1 Stk → auf 16 erhöhen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 mm breit, je 1 Meter (X, Y, Z)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5</v>
      </c>
      <c r="E73" s="14" t="n">
        <v>2.5</v>
      </c>
      <c r="F73" s="3">
        <f>D73*E73</f>
        <v/>
      </c>
      <c r="G73" s="3" t="inlineStr">
        <is>
          <t>x</t>
        </is>
      </c>
      <c r="H73" t="inlineStr">
        <is>
          <t>ANPASSUNG: 5 m je Probe (Bedarf 4,13 m: X 2 × 1,43 m, Y 1,02 m, Z 0,25 m; CAD zeigt Z 9 mm breit, wir nehmen 6 mm). DOLD-Angebot Pos 37 nur 1 m → auf 20 m erhöhen</t>
        </is>
      </c>
      <c r="I73" t="inlineStr">
        <is>
          <t>https://www.dold-mechatronik.de/Zahnriemen-GT2-Breite-6mm-Laenge-1-Meter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15" t="inlineStr">
        <is>
          <t>Smoothieboard ohne Stepper Treiber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25.99</v>
      </c>
      <c r="F85" s="3">
        <f>D85*E85</f>
        <v/>
      </c>
      <c r="G85" s="3" t="inlineStr">
        <is>
          <t>x</t>
        </is>
      </c>
      <c r="I85" t="inlineStr">
        <is>
          <t>https://www.amazon.de/gp/product/B07P73VWHK/</t>
        </is>
      </c>
    </row>
    <row r="86">
      <c r="A86" s="15" t="inlineStr">
        <is>
          <t>4 x TMC2130 V2.0 Motortreiber</t>
        </is>
      </c>
      <c r="B86" s="25" t="inlineStr">
        <is>
          <t>nein</t>
        </is>
      </c>
      <c r="C86" s="3" t="inlineStr">
        <is>
          <t>x</t>
        </is>
      </c>
      <c r="D86" s="3" t="n">
        <v>1</v>
      </c>
      <c r="E86" s="10" t="n">
        <v>33.99</v>
      </c>
      <c r="F86" s="3">
        <f>D86*E86</f>
        <v/>
      </c>
      <c r="G86" s="3" t="inlineStr">
        <is>
          <t>x</t>
        </is>
      </c>
      <c r="H86" t="inlineStr">
        <is>
          <t>ANPASSUNG: X/Y/Z laufen über CL42T-V41 – TMC2130 werden dafür nicht mehr gebraucht; Menge prüfen</t>
        </is>
      </c>
      <c r="I86" t="inlineStr">
        <is>
          <t>https://www.amazon.de/PoPprint-SPI-Motortreiber-K%C3%BChlk%C3%B6rper-Verwendung-Goldablagerungstechnologie/dp/B07Q9JKK23/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 igus E2i.10.20.028.0 (X), 14 Glieder = 0,28 m, inkl. Anschlussset E2.100.20.34PZ.A2</t>
        </is>
      </c>
      <c r="B91" s="25" t="inlineStr">
        <is>
          <t>nein</t>
        </is>
      </c>
      <c r="C91" t="inlineStr">
        <is>
          <t>x</t>
        </is>
      </c>
      <c r="D91" t="n">
        <v>2</v>
      </c>
      <c r="E91">
        <f>(14*0.49+6.48)*1.19</f>
        <v/>
      </c>
      <c r="F91">
        <f>D91*E91</f>
        <v/>
      </c>
      <c r="G91" s="3" t="inlineStr">
        <is>
          <t>x</t>
        </is>
      </c>
      <c r="H91" t="inlineStr">
        <is>
          <t>2 je Probe (8 im Vollausbau). igus-Preise netto: 0,49 €/Glied + 6,48 € Anschlussset, hier inkl. 19 % MwSt.; versandfertig in 24 h</t>
        </is>
      </c>
      <c r="I91" t="inlineStr">
        <is>
          <t>https://www.igus.de/product/series-E2i-10?artnr=E2I.10.20.028.0</t>
        </is>
      </c>
    </row>
    <row r="92">
      <c r="A92" t="inlineStr">
        <is>
          <t>Energiekette igus E2i.10.10.028.0 (Y), 12 Glieder = 0,24 m, inkl. Anschlussset E2.100.10.34PZ.A2</t>
        </is>
      </c>
      <c r="B92" s="25" t="inlineStr">
        <is>
          <t>nein</t>
        </is>
      </c>
      <c r="C92" t="inlineStr">
        <is>
          <t>x</t>
        </is>
      </c>
      <c r="D92" t="n">
        <v>2</v>
      </c>
      <c r="E92">
        <f>(12*0.47+6.2)*1.19</f>
        <v/>
      </c>
      <c r="F92">
        <f>D92*E92</f>
        <v/>
      </c>
      <c r="G92" s="3" t="inlineStr">
        <is>
          <t>x</t>
        </is>
      </c>
      <c r="H92" t="inlineStr">
        <is>
          <t>2 je Probe (8 im Vollausbau). Die 8 kollidierenden Doppel-Ketten im CAD wurden gelöscht. igus-Preise netto: 0,47 €/Glied + 6,20 € Anschlussset, hier inkl. 19 % MwSt.; versandfertig in 72 h</t>
        </is>
      </c>
      <c r="I92" t="inlineStr">
        <is>
          <t>https://www.igus.de/product/series-E2i-10?artnr=E2i.10.10.028.0</t>
        </is>
      </c>
    </row>
    <row r="93">
      <c r="A93" t="inlineStr">
        <is>
          <t>Kabel für Endschalter</t>
        </is>
      </c>
      <c r="B93" s="25" t="inlineStr">
        <is>
          <t>nein</t>
        </is>
      </c>
      <c r="G93" s="3" t="inlineStr">
        <is>
          <t>x</t>
        </is>
      </c>
    </row>
    <row r="94">
      <c r="A94" s="17" t="inlineStr">
        <is>
          <t>Motorkabel</t>
        </is>
      </c>
      <c r="B94" s="25" t="inlineStr">
        <is>
          <t>nein</t>
        </is>
      </c>
      <c r="C94" s="18" t="n"/>
      <c r="D94" s="18" t="n"/>
      <c r="E94" s="18" t="n"/>
      <c r="F94" s="18" t="n"/>
      <c r="G94" s="18" t="inlineStr">
        <is>
          <t>x</t>
        </is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</row>
    <row r="95">
      <c r="A95" s="4" t="inlineStr">
        <is>
          <t>Rahmen / Gestell (einmalig) inkl. Mwst.</t>
        </is>
      </c>
      <c r="C95" s="5" t="n"/>
      <c r="D95" s="5" t="n"/>
      <c r="E95" s="5" t="n"/>
      <c r="F95" s="5">
        <f>SUM(F6:F24)</f>
        <v/>
      </c>
      <c r="G95" s="3" t="n"/>
    </row>
    <row r="96">
      <c r="A96" s="4" t="inlineStr">
        <is>
          <t>Rahmen / Gestell (einmalig) exkl. Mwst.</t>
        </is>
      </c>
      <c r="C96" s="5" t="n"/>
      <c r="D96" s="5" t="n"/>
      <c r="E96" s="5" t="n"/>
      <c r="F96" s="19">
        <f>F95/1.19</f>
        <v/>
      </c>
      <c r="G96" s="3" t="n"/>
    </row>
    <row r="97">
      <c r="G97" s="3" t="n"/>
    </row>
    <row r="98">
      <c r="A98" s="4" t="inlineStr">
        <is>
          <t>je weitere Probe inkl. Mwst.</t>
        </is>
      </c>
      <c r="C98" s="5" t="n"/>
      <c r="D98" s="5" t="n"/>
      <c r="E98" s="5" t="n"/>
      <c r="F98" s="19">
        <f>SUM(F27:F94)</f>
        <v/>
      </c>
      <c r="G98" s="3" t="n"/>
    </row>
    <row r="99">
      <c r="A99" s="4" t="inlineStr">
        <is>
          <t>je weitere Probe exkl. Mwst.</t>
        </is>
      </c>
      <c r="C99" s="5" t="n"/>
      <c r="D99" s="5" t="n"/>
      <c r="E99" s="5" t="n"/>
      <c r="F99" s="19">
        <f>F98/1.19</f>
        <v/>
      </c>
      <c r="G99" s="3" t="n"/>
    </row>
    <row r="100">
      <c r="A100" s="4" t="n"/>
      <c r="C100" s="5" t="n"/>
      <c r="D100" s="5" t="n"/>
      <c r="E100" s="5" t="n"/>
      <c r="F100" s="19" t="n"/>
      <c r="G100" s="3" t="n"/>
    </row>
    <row r="101">
      <c r="A101" s="4" t="inlineStr">
        <is>
          <t>Prototyp = Rahmen mit 1 x Probe inkl. Mwst.</t>
        </is>
      </c>
      <c r="C101" s="5" t="n"/>
      <c r="D101" s="5" t="n"/>
      <c r="E101" s="5" t="n"/>
      <c r="F101" s="19">
        <f>SUM(F6:F94)</f>
        <v/>
      </c>
      <c r="G101" s="19" t="n"/>
    </row>
    <row r="102">
      <c r="A102" s="4" t="inlineStr">
        <is>
          <t>Prototyp = Rahmen mit 1 x Probe exkl. Mwst.</t>
        </is>
      </c>
      <c r="C102" s="5" t="n"/>
      <c r="D102" s="5" t="n"/>
      <c r="E102" s="5" t="n"/>
      <c r="F102" s="19">
        <f>F101/1.19</f>
        <v/>
      </c>
      <c r="G102" s="19" t="n"/>
    </row>
    <row r="103">
      <c r="A103" s="4" t="n"/>
      <c r="C103" s="5" t="n"/>
      <c r="D103" s="5" t="n"/>
      <c r="E103" s="5" t="n"/>
      <c r="F103" s="5" t="n"/>
      <c r="G103" s="5" t="n"/>
    </row>
    <row r="104">
      <c r="A104" s="4" t="inlineStr">
        <is>
          <t>Vollausbau = Rahmen + 4 x Probe inkl. Mwst.</t>
        </is>
      </c>
      <c r="C104" s="5" t="n"/>
      <c r="D104" s="5" t="n"/>
      <c r="E104" s="5" t="n"/>
      <c r="F104" s="19">
        <f>F101+3*F98</f>
        <v/>
      </c>
      <c r="G104" s="19" t="n"/>
    </row>
    <row r="105">
      <c r="A105" s="4" t="inlineStr">
        <is>
          <t>Vollausbau = Rahmen + 4 x Probe exkl. Mwst.</t>
        </is>
      </c>
      <c r="C105" s="5" t="n"/>
      <c r="D105" s="5" t="n"/>
      <c r="E105" s="5" t="n"/>
      <c r="F105" s="19">
        <f>F104/1.19</f>
        <v/>
      </c>
      <c r="G105" s="19" t="n"/>
    </row>
    <row r="107" ht="15.75" customHeight="1"/>
    <row r="108">
      <c r="A108" s="6" t="inlineStr">
        <is>
          <t>Farbcode Hersteller</t>
        </is>
      </c>
      <c r="C108" s="7" t="n"/>
    </row>
    <row r="109">
      <c r="A109" s="8" t="inlineStr">
        <is>
          <t>DOLD Mechatronik: https://www.dold-mechatronik.de</t>
        </is>
      </c>
      <c r="C109" s="3" t="inlineStr">
        <is>
          <t>x</t>
        </is>
      </c>
    </row>
    <row r="110">
      <c r="A110" s="13" t="inlineStr">
        <is>
          <t>Nanotec: https://de.nanotec.com</t>
        </is>
      </c>
      <c r="C110" s="3" t="inlineStr">
        <is>
          <t>x</t>
        </is>
      </c>
    </row>
    <row r="111">
      <c r="A111" s="16" t="inlineStr">
        <is>
          <t>igus: https://www.igus.de</t>
        </is>
      </c>
      <c r="C111" s="3" t="inlineStr">
        <is>
          <t>x</t>
        </is>
      </c>
    </row>
    <row r="112">
      <c r="A112" s="9" t="inlineStr">
        <is>
          <t>Teleskopschienen24: https://www.teleskopschienen24.de/</t>
        </is>
      </c>
      <c r="C112" s="3" t="inlineStr">
        <is>
          <t>x</t>
        </is>
      </c>
    </row>
    <row r="113">
      <c r="A113" s="12" t="inlineStr">
        <is>
          <t>Motedis: https://www.motedis.com/</t>
        </is>
      </c>
      <c r="C113" s="3" t="inlineStr">
        <is>
          <t>x</t>
        </is>
      </c>
      <c r="F113" s="20" t="n"/>
    </row>
    <row r="114">
      <c r="A114" s="15" t="inlineStr">
        <is>
          <t>Amazon: https://www.amazon.de</t>
        </is>
      </c>
      <c r="C114" s="3" t="inlineStr">
        <is>
          <t>x</t>
        </is>
      </c>
      <c r="F114" s="10" t="n"/>
    </row>
    <row r="115">
      <c r="A115" s="11" t="inlineStr">
        <is>
          <t>Laserteile4you: https://www.laserteile4you.de/home.html</t>
        </is>
      </c>
      <c r="C115" s="3" t="inlineStr">
        <is>
          <t>x</t>
        </is>
      </c>
    </row>
    <row r="116">
      <c r="A116" s="11" t="inlineStr">
        <is>
          <t>StepperOnline: https://www.omc-stepperonline.com</t>
        </is>
      </c>
      <c r="C116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2026-10-27T10:54:54Z</dcterms:modified>
  <cp:lastModifiedBy>luis Kremer</cp:lastModifiedBy>
  <cp:revision>190</cp:revision>
</cp:coreProperties>
</file>