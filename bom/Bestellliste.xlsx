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stelllis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/>
    </xf>
    <xf numFmtId="0" fontId="0" fillId="2" borderId="0" applyAlignment="1" pivotButton="0" quotePrefix="0" xfId="0">
      <alignment vertical="top"/>
    </xf>
    <xf numFmtId="4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8" customWidth="1" min="3" max="3"/>
    <col width="14" customWidth="1" min="4" max="4"/>
    <col width="14" customWidth="1" min="5" max="5"/>
    <col width="9" customWidth="1" min="6" max="6"/>
    <col width="70" customWidth="1" min="7" max="7"/>
    <col width="60" customWidth="1" min="8" max="8"/>
  </cols>
  <sheetData>
    <row r="1">
      <c r="A1" s="1" t="inlineStr">
        <is>
          <t>Bestellliste ProBoter</t>
        </is>
      </c>
    </row>
    <row r="3">
      <c r="A3" s="2" t="inlineStr">
        <is>
          <t>Teil</t>
        </is>
      </c>
      <c r="B3" s="2" t="inlineStr">
        <is>
          <t>Shop</t>
        </is>
      </c>
      <c r="C3" s="2" t="inlineStr">
        <is>
          <t>Menge</t>
        </is>
      </c>
      <c r="D3" s="2" t="inlineStr">
        <is>
          <t>Einzelpreis inkl. MwSt. (€)</t>
        </is>
      </c>
      <c r="E3" s="2" t="inlineStr">
        <is>
          <t>Gesamt inkl. MwSt. (€)</t>
        </is>
      </c>
      <c r="F3" s="2" t="inlineStr">
        <is>
          <t>je Probe</t>
        </is>
      </c>
      <c r="G3" s="2" t="inlineStr">
        <is>
          <t>Anmerkung</t>
        </is>
      </c>
      <c r="H3" s="2" t="inlineStr">
        <is>
          <t>Link</t>
        </is>
      </c>
    </row>
    <row r="4">
      <c r="A4" s="3" t="n"/>
      <c r="B4" s="4" t="n"/>
      <c r="C4" s="4" t="n"/>
      <c r="D4" s="4" t="n"/>
      <c r="E4" s="4" t="n"/>
      <c r="F4" s="4" t="n"/>
      <c r="G4" s="3" t="n"/>
      <c r="H4" s="4" t="n"/>
    </row>
    <row r="5">
      <c r="A5" s="5" t="inlineStr">
        <is>
          <t>Gestell (einmalig)</t>
        </is>
      </c>
      <c r="B5" s="4" t="n"/>
      <c r="C5" s="4" t="n"/>
      <c r="D5" s="4" t="n"/>
      <c r="E5" s="4" t="n"/>
      <c r="F5" s="4" t="n"/>
      <c r="G5" s="3" t="n"/>
      <c r="H5" s="4" t="n"/>
    </row>
    <row r="6">
      <c r="A6" s="3" t="inlineStr">
        <is>
          <t>Gelenkfuß M6x20, Teller 40mm mit Ant-Slip-Platte</t>
        </is>
      </c>
      <c r="B6" s="4" t="inlineStr">
        <is>
          <t>DOLD</t>
        </is>
      </c>
      <c r="C6" s="4" t="n">
        <v>4</v>
      </c>
      <c r="D6" s="6" t="n">
        <v>1.83</v>
      </c>
      <c r="E6" s="6">
        <f>IF(AND(ISNUMBER(C6),ISNUMBER(D6)),C6*D6,0)</f>
        <v/>
      </c>
      <c r="F6" s="4" t="n"/>
      <c r="G6" s="3" t="inlineStr">
        <is>
          <t>(DOLD-Angebot Pos 1)</t>
        </is>
      </c>
      <c r="H6" s="4" t="inlineStr">
        <is>
          <t>https://www.dold-mechatronik.de/Gelenkfuss-Reihe-10-PA-Gewindestange-mit-Kugel-10mm-M6x20-Schluesselweite-10-Teller-40mm-mit-Anti-Slip-Platte-40-d385</t>
        </is>
      </c>
    </row>
    <row r="7">
      <c r="A7" s="3" t="inlineStr">
        <is>
          <t>Winkel 30 I-Typ inkl. Befestigungssatz</t>
        </is>
      </c>
      <c r="B7" s="4" t="inlineStr">
        <is>
          <t>DOLD</t>
        </is>
      </c>
      <c r="C7" s="4" t="n">
        <v>22</v>
      </c>
      <c r="D7" s="6" t="n">
        <v>1.91</v>
      </c>
      <c r="E7" s="6">
        <f>IF(AND(ISNUMBER(C7),ISNUMBER(D7)),C7*D7,0)</f>
        <v/>
      </c>
      <c r="F7" s="4" t="n"/>
      <c r="G7" s="3" t="inlineStr">
        <is>
          <t>(DOLD-Angebot Pos 2)</t>
        </is>
      </c>
      <c r="H7" s="4" t="inlineStr">
        <is>
          <t>https://www.dold-mechatronik.de/Winkel-30-I-Typ-Nut-6-inkl-Befestigungssatz-und-Abdeckkappe</t>
        </is>
      </c>
    </row>
    <row r="8">
      <c r="A8" s="3" t="inlineStr">
        <is>
          <t>Bügelgriff 100mm mit Befestigungsbohrungen</t>
        </is>
      </c>
      <c r="B8" s="4" t="inlineStr">
        <is>
          <t>DOLD</t>
        </is>
      </c>
      <c r="C8" s="4" t="n">
        <v>1</v>
      </c>
      <c r="D8" s="6" t="n">
        <v>8.51</v>
      </c>
      <c r="E8" s="6">
        <f>IF(AND(ISNUMBER(C8),ISNUMBER(D8)),C8*D8,0)</f>
        <v/>
      </c>
      <c r="F8" s="4" t="n"/>
      <c r="G8" s="3" t="inlineStr">
        <is>
          <t>(DOLD-Angebot Pos 3)</t>
        </is>
      </c>
      <c r="H8" s="4" t="inlineStr">
        <is>
          <t>https://www.dold-mechatronik.de/Buegelgriff-100mm-mit-Befestigungsbohrungen</t>
        </is>
      </c>
    </row>
    <row r="9">
      <c r="A9" s="3" t="inlineStr">
        <is>
          <t>Teleskopschienen Vollauszug 45 kg, 350 mm (1 Paar), DOLD HS-4613-350</t>
        </is>
      </c>
      <c r="B9" s="4" t="inlineStr">
        <is>
          <t>DOLD</t>
        </is>
      </c>
      <c r="C9" s="4" t="n">
        <v>1</v>
      </c>
      <c r="D9" s="6" t="n">
        <v>10.84</v>
      </c>
      <c r="E9" s="6">
        <f>IF(AND(ISNUMBER(C9),ISNUMBER(D9)),C9*D9,0)</f>
        <v/>
      </c>
      <c r="F9" s="4" t="n"/>
      <c r="G9" s="3" t="inlineStr">
        <is>
          <t>ERSATZ für Teleskopschienen24 TS-A 514613-350 (12,50 €/Paar, mit Arretierung). DOLD: 45,7 × 12,7 mm wie CAD, Arretierung nicht angegeben, Lochbild beim Einbau prüfen</t>
        </is>
      </c>
      <c r="H9" s="4" t="inlineStr">
        <is>
          <t>https://www.dold-mechatronik.de/Vollauszug-45kg-350mm-(1-Paar-Teleskopschienen)</t>
        </is>
      </c>
    </row>
    <row r="10">
      <c r="A10" s="3" t="inlineStr">
        <is>
          <t>Aluprofil I-Typ 80x16S Nut 8, 650 mm (Energieketten-Halter)</t>
        </is>
      </c>
      <c r="B10" s="4" t="inlineStr">
        <is>
          <t>DOLD</t>
        </is>
      </c>
      <c r="C10" s="4" t="n">
        <v>2</v>
      </c>
      <c r="D10" s="6">
        <f>0.65*28+0.5</f>
        <v/>
      </c>
      <c r="E10" s="6">
        <f>IF(AND(ISNUMBER(C10),ISNUMBER(D10)),C10*D10,0)</f>
        <v/>
      </c>
      <c r="F10" s="4" t="n"/>
      <c r="G10" s="3" t="inlineStr">
        <is>
          <t>ERSATZ für Druckteil base_drag_chain_holder (obere Halter :1 und :3); die 2 unteren bleiben Druckteil. Je Profil 20 × M3-Gewinde auf der Oberseite selbst bohren/schneiden (Kernloch 2,5 mm)</t>
        </is>
      </c>
      <c r="H10" s="4" t="inlineStr">
        <is>
          <t>https://www.dold-mechatronik.de/Aluminiumprofil-80x16S-I-Typ-Nut-8-schwer-22kg-m-Zuschnitt-50-6000mm</t>
        </is>
      </c>
    </row>
    <row r="11">
      <c r="A11" s="3" t="inlineStr">
        <is>
          <t>Aluprofil I-Typ 30x60x650</t>
        </is>
      </c>
      <c r="B11" s="4" t="inlineStr">
        <is>
          <t>DOLD</t>
        </is>
      </c>
      <c r="C11" s="4" t="n">
        <v>2</v>
      </c>
      <c r="D11" s="6" t="n">
        <v>11.35</v>
      </c>
      <c r="E11" s="6">
        <f>IF(AND(ISNUMBER(C11),ISNUMBER(D11)),C11*D11,0)</f>
        <v/>
      </c>
      <c r="F11" s="4" t="n"/>
      <c r="G11" s="3" t="inlineStr">
        <is>
          <t>Balken für X-Führung (DOLD-Angebot Pos 7)</t>
        </is>
      </c>
      <c r="H11" s="4" t="inlineStr">
        <is>
          <t>https://www.dold-mechatronik.de/Aluminiumprofil-30x60L-I-Typ-Nut-6-ZUSCHNITT-bis-1200-mm-1700-EUR-m-030-EUR-pro-Schnitt</t>
        </is>
      </c>
    </row>
    <row r="12">
      <c r="A12" s="3" t="inlineStr">
        <is>
          <t>Aluprofil I-Typ 30x30x350</t>
        </is>
      </c>
      <c r="B12" s="4" t="inlineStr">
        <is>
          <t>DOLD</t>
        </is>
      </c>
      <c r="C12" s="4" t="n">
        <v>10</v>
      </c>
      <c r="D12" s="6" t="n">
        <v>3.23</v>
      </c>
      <c r="E12" s="6">
        <f>IF(AND(ISNUMBER(C12),ISNUMBER(D12)),C12*D12,0)</f>
        <v/>
      </c>
      <c r="F12" s="4" t="n"/>
      <c r="G12" s="3" t="inlineStr">
        <is>
          <t>4 x Senkrechte Streben + 4 x kurze Querstreben + 2 x Schublade quer (DOLD-Angebot Pos 8)</t>
        </is>
      </c>
      <c r="H12" s="4" t="inlineStr">
        <is>
          <t>https://www.dold-mechatronik.de/Aluminiumprofil-30x30L-I-Typ-Nut-6-ZUSCHNITT-bis-1200-mm-850-EUR-m-025-EUR-pro-Schnitt</t>
        </is>
      </c>
    </row>
    <row r="13">
      <c r="A13" s="3" t="inlineStr">
        <is>
          <t>Aluprofil I-Typ 30x30x590</t>
        </is>
      </c>
      <c r="B13" s="4" t="inlineStr">
        <is>
          <t>DOLD</t>
        </is>
      </c>
      <c r="C13" s="4" t="n">
        <v>3</v>
      </c>
      <c r="D13" s="6" t="n">
        <v>5.27</v>
      </c>
      <c r="E13" s="6">
        <f>IF(AND(ISNUMBER(C13),ISNUMBER(D13)),C13*D13,0)</f>
        <v/>
      </c>
      <c r="F13" s="4" t="n"/>
      <c r="G13" s="3" t="inlineStr">
        <is>
          <t>Längsstreben horizontal (DOLD-Angebot Pos 9)</t>
        </is>
      </c>
      <c r="H13" s="4" t="inlineStr">
        <is>
          <t>https://www.dold-mechatronik.de/Aluminiumprofil-30x30L-I-Typ-Nut-6-ZUSCHNITT-bis-1200-mm-850-EUR-m-025-EUR-pro-Schnitt</t>
        </is>
      </c>
    </row>
    <row r="14">
      <c r="A14" s="3" t="inlineStr">
        <is>
          <t>Aluprofil I-Typ 30x30x564</t>
        </is>
      </c>
      <c r="B14" s="4" t="inlineStr">
        <is>
          <t>DOLD</t>
        </is>
      </c>
      <c r="C14" s="4" t="n">
        <v>2</v>
      </c>
      <c r="D14" s="6" t="n">
        <v>5.04</v>
      </c>
      <c r="E14" s="6">
        <f>IF(AND(ISNUMBER(C14),ISNUMBER(D14)),C14*D14,0)</f>
        <v/>
      </c>
      <c r="F14" s="4" t="n"/>
      <c r="G14" s="3" t="inlineStr">
        <is>
          <t>Schublade längs (DOLD-Angebot Pos 10)</t>
        </is>
      </c>
      <c r="H14" s="4" t="inlineStr">
        <is>
          <t>https://www.dold-mechatronik.de/Aluminiumprofil-30x30L-I-Typ-Nut-6-ZUSCHNITT-bis-1200-mm-850-EUR-m-025-EUR-pro-Schnitt</t>
        </is>
      </c>
    </row>
    <row r="15">
      <c r="A15" s="3" t="inlineStr">
        <is>
          <t>Schubladenplatte</t>
        </is>
      </c>
      <c r="B15" s="4" t="n"/>
      <c r="C15" s="4" t="n">
        <v>1</v>
      </c>
      <c r="D15" s="6" t="n">
        <v>10</v>
      </c>
      <c r="E15" s="6">
        <f>IF(AND(ISNUMBER(C15),ISNUMBER(D15)),C15*D15,0)</f>
        <v/>
      </c>
      <c r="F15" s="4" t="n"/>
      <c r="G15" s="3" t="n"/>
      <c r="H15" s="7" t="n"/>
    </row>
    <row r="16">
      <c r="A16" s="3" t="inlineStr">
        <is>
          <t>Motorplatte, Stahl gelasert, 5mm</t>
        </is>
      </c>
      <c r="B16" s="4" t="inlineStr">
        <is>
          <t>Werkstatt</t>
        </is>
      </c>
      <c r="C16" s="4" t="n">
        <v>2</v>
      </c>
      <c r="D16" s="6" t="n">
        <v>80</v>
      </c>
      <c r="E16" s="6">
        <f>IF(AND(ISNUMBER(C16),ISNUMBER(D16)),C16*D16,0)</f>
        <v/>
      </c>
      <c r="F16" s="4" t="n"/>
      <c r="G16" s="3" t="n"/>
      <c r="H16" s="7" t="n"/>
    </row>
    <row r="17">
      <c r="A17" s="3" t="inlineStr">
        <is>
          <t>Profilschienenführung, MR12, 600mm, Edelstahl</t>
        </is>
      </c>
      <c r="B17" s="4" t="inlineStr">
        <is>
          <t>DOLD</t>
        </is>
      </c>
      <c r="C17" s="4" t="n">
        <v>2</v>
      </c>
      <c r="D17" s="6" t="n">
        <v>82.2</v>
      </c>
      <c r="E17" s="6">
        <f>IF(AND(ISNUMBER(C17),ISNUMBER(D17)),C17*D17,0)</f>
        <v/>
      </c>
      <c r="F17" s="4" t="n"/>
      <c r="G17" s="3" t="inlineStr">
        <is>
          <t>ERSATZ des Motedis-Artikels MR12M-N L=600 (Art. 6111): gleiche Schiene (cpc MR12M, Edelstahl, Genauigkeit N, V0). Preis 82,20 € inkl. 19 % USt. laut DOLD-Shop (Stand 27.10.2026), sofort lieferbar</t>
        </is>
      </c>
      <c r="H17" s="4" t="inlineStr">
        <is>
          <t>https://www.dold-mechatronik.de/Linearfuehrung-MR-12-M-Edelstahl-600mm</t>
        </is>
      </c>
    </row>
    <row r="18">
      <c r="A18" s="3" t="inlineStr">
        <is>
          <t>Übersichtskamera ELP 8MP USB-Kameramodul IMX179, 75° ohne Verzerrung</t>
        </is>
      </c>
      <c r="B18" s="4" t="inlineStr">
        <is>
          <t>Amazon</t>
        </is>
      </c>
      <c r="C18" s="4" t="n">
        <v>1</v>
      </c>
      <c r="D18" s="6" t="n">
        <v>63</v>
      </c>
      <c r="E18" s="6">
        <f>IF(AND(ISNUMBER(C18),ISNUMBER(D18)),C18*D18,0)</f>
        <v/>
      </c>
      <c r="F18" s="4" t="n"/>
      <c r="G18" s="3" t="inlineStr">
        <is>
          <t>ERSATZ für die stationäre Übersichtskamera (Modell im Original unbekannt; vorher ELP-USBFHD01M-H100, nur auf Anfrage bei ELP). 1 je Gestell. Amazon ASIN B07FXBW81G, Verkäufer ELPUSBCAMERA. 3264×2448 MJPEG 15 fps, UVC, M12-Objektiv. Bei ca. 356 mm Abstand ca. 550 mm Bildbreite (≈0,17 mm/px). ANPASSUNG prüfen: camera_holder hat Tasche 38×33 mm und M2-Raster 28×28 mm; Platine ist 38×38 mm, Lochbild nicht belegt.</t>
        </is>
      </c>
      <c r="H18" s="4" t="inlineStr">
        <is>
          <t>https://www.amazon.de/dp/B07FXBW81G</t>
        </is>
      </c>
    </row>
    <row r="19">
      <c r="A19" s="3" t="inlineStr">
        <is>
          <t>Teller 40 für Gelenkstellfuß Kugel 10 mm, Kunststoff (Ersatz)</t>
        </is>
      </c>
      <c r="B19" s="4" t="inlineStr">
        <is>
          <t>DOLD</t>
        </is>
      </c>
      <c r="C19" s="4" t="n">
        <v>1</v>
      </c>
      <c r="D19" s="6" t="n">
        <v>0.53</v>
      </c>
      <c r="E19" s="6">
        <f>IF(AND(ISNUMBER(C19),ISNUMBER(D19)),C19*D19,0)</f>
        <v/>
      </c>
      <c r="F19" s="4" t="n"/>
      <c r="G19" s="3" t="inlineStr">
        <is>
          <t>aus Blatt BOM_2 übernommen; einzeln, sonst Teil des Gelenkfuß-Sets</t>
        </is>
      </c>
      <c r="H19" s="4" t="inlineStr">
        <is>
          <t>https://www.dold-mechatronik.de/Teller-40-fuer-Gelenkstellfuss-Kugel-10mm-Kunststoff</t>
        </is>
      </c>
    </row>
    <row r="20">
      <c r="A20" s="3" t="n"/>
      <c r="B20" s="4" t="n"/>
      <c r="C20" s="4" t="n"/>
      <c r="D20" s="4" t="n"/>
      <c r="E20" s="4" t="n"/>
      <c r="F20" s="4" t="n"/>
      <c r="G20" s="3" t="n"/>
      <c r="H20" s="4" t="n"/>
    </row>
    <row r="21">
      <c r="A21" s="5" t="inlineStr">
        <is>
          <t>X-Antrieb (je Probe)</t>
        </is>
      </c>
      <c r="B21" s="4" t="n"/>
      <c r="C21" s="4" t="n"/>
      <c r="D21" s="4" t="n"/>
      <c r="E21" s="4" t="n"/>
      <c r="F21" s="4" t="n"/>
      <c r="G21" s="3" t="n"/>
      <c r="H21" s="4" t="n"/>
    </row>
    <row r="22">
      <c r="A22" s="3" t="inlineStr">
        <is>
          <t>Schrittmotor NEMA 14 – StepperOnline 14HS13-0804S</t>
        </is>
      </c>
      <c r="B22" s="4" t="inlineStr">
        <is>
          <t>StepperOnline</t>
        </is>
      </c>
      <c r="C22" s="4" t="n">
        <v>2</v>
      </c>
      <c r="D22" s="6" t="n">
        <v>7.72</v>
      </c>
      <c r="E22" s="6">
        <f>IF(AND(ISNUMBER(C22),ISNUMBER(D22)),C22*D22,0)</f>
        <v/>
      </c>
      <c r="F22" s="4" t="inlineStr">
        <is>
          <t>x</t>
        </is>
      </c>
      <c r="G22" s="3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H22" s="4" t="inlineStr">
        <is>
          <t>https://www.omc-stepperonline.com/de/nema-14-bipolar-1-8deg-18ncm-25-5oz-in-0-8a-5-74v-35x35x34mm-4-draehte-14hs13-0804s</t>
        </is>
      </c>
    </row>
    <row r="23">
      <c r="A23" s="3" t="inlineStr">
        <is>
          <t>Endschalter induktiv M8, LJ8A3-2-Z/BX (NPN, Schließer, 2 mm)</t>
        </is>
      </c>
      <c r="B23" s="4" t="inlineStr">
        <is>
          <t>Amazon</t>
        </is>
      </c>
      <c r="C23" s="4" t="n">
        <v>2</v>
      </c>
      <c r="D23" s="6" t="n">
        <v>6.89</v>
      </c>
      <c r="E23" s="6">
        <f>IF(AND(ISNUMBER(C23),ISNUMBER(D23)),C23*D23,0)</f>
        <v/>
      </c>
      <c r="F23" s="4" t="inlineStr">
        <is>
          <t>x</t>
        </is>
      </c>
      <c r="G23" s="3" t="inlineStr">
        <is>
          <t>ERSATZ für M12: CAD-Halter haben 8,1-mm-Bohrung. 2 je Probe (X-min und X-max), wie in der Firmware</t>
        </is>
      </c>
      <c r="H23" s="4" t="inlineStr">
        <is>
          <t>https://www.amazon.de/Induktive-N%C3%A4herungsschalter-LJ8-A3-2-z-BX-Normalerweise/dp/B072Q68493/</t>
        </is>
      </c>
    </row>
    <row r="24">
      <c r="A24" s="3" t="n"/>
      <c r="B24" s="4" t="n"/>
      <c r="C24" s="4" t="n"/>
      <c r="D24" s="4" t="n"/>
      <c r="E24" s="4" t="n"/>
      <c r="F24" s="4" t="n"/>
      <c r="G24" s="3" t="n"/>
      <c r="H24" s="4" t="n"/>
    </row>
    <row r="25">
      <c r="A25" s="5" t="inlineStr">
        <is>
          <t>X-Schlitten inkl. Y-Antrieb / Führung (je Probe)</t>
        </is>
      </c>
      <c r="B25" s="4" t="n"/>
      <c r="C25" s="4" t="n"/>
      <c r="D25" s="4" t="n"/>
      <c r="E25" s="4" t="n"/>
      <c r="F25" s="4" t="n"/>
      <c r="G25" s="3" t="n"/>
      <c r="H25" s="4" t="n"/>
    </row>
    <row r="26">
      <c r="A26" s="3" t="inlineStr">
        <is>
          <t>Linearwagen MR12 MN-SS-V0-N</t>
        </is>
      </c>
      <c r="B26" s="4" t="inlineStr">
        <is>
          <t>Motedis</t>
        </is>
      </c>
      <c r="C26" s="4" t="n">
        <v>2</v>
      </c>
      <c r="D26" s="6" t="n">
        <v>18.6</v>
      </c>
      <c r="E26" s="6">
        <f>IF(AND(ISNUMBER(C26),ISNUMBER(D26)),C26*D26,0)</f>
        <v/>
      </c>
      <c r="F26" s="4" t="inlineStr">
        <is>
          <t>x</t>
        </is>
      </c>
      <c r="G26" s="3" t="inlineStr">
        <is>
          <t>(DOLD-Angebot Pos 19)</t>
        </is>
      </c>
      <c r="H26" s="4" t="inlineStr">
        <is>
          <t>https://www.motedis.com/shop/Dynamik-Lineareinheiten/Profilschienenfuehrungen-fuer-die-Linearbewegung/Profilschienenfuehrungen/Fuehrungswagen-Miniatur-MR12MN-SS-V0-N::6097.html</t>
        </is>
      </c>
    </row>
    <row r="27">
      <c r="A27" s="3" t="inlineStr">
        <is>
          <t>Aluprofil 40x16S I-Typ, 436mm</t>
        </is>
      </c>
      <c r="B27" s="4" t="inlineStr">
        <is>
          <t>DOLD</t>
        </is>
      </c>
      <c r="C27" s="4" t="n">
        <v>1</v>
      </c>
      <c r="D27" s="6" t="n">
        <v>4.83</v>
      </c>
      <c r="E27" s="6">
        <f>IF(AND(ISNUMBER(C27),ISNUMBER(D27)),C27*D27,0)</f>
        <v/>
      </c>
      <c r="F27" s="4" t="inlineStr">
        <is>
          <t>x</t>
        </is>
      </c>
      <c r="G27" s="3" t="inlineStr">
        <is>
          <t>(DOLD-Angebot Pos 21)</t>
        </is>
      </c>
      <c r="H27" s="4" t="inlineStr">
        <is>
          <t>https://www.dold-mechatronik.de/Aluminiumprofil-40x16S-I-Typ-Nut-8-ZUSCHNITT-bis-1200-mm-1050-EUR-m-025-EUR-pro-Schnitt</t>
        </is>
      </c>
    </row>
    <row r="28">
      <c r="A28" s="3" t="inlineStr">
        <is>
          <t>Seitenplatten, Stahl, gelasert, 5mm</t>
        </is>
      </c>
      <c r="B28" s="4" t="inlineStr">
        <is>
          <t>Werkstatt</t>
        </is>
      </c>
      <c r="C28" s="4" t="n">
        <v>2</v>
      </c>
      <c r="D28" s="6" t="n">
        <v>35</v>
      </c>
      <c r="E28" s="6">
        <f>IF(AND(ISNUMBER(C28),ISNUMBER(D28)),C28*D28,0)</f>
        <v/>
      </c>
      <c r="F28" s="4" t="inlineStr">
        <is>
          <t>x</t>
        </is>
      </c>
      <c r="G28" s="3" t="n"/>
      <c r="H28" s="7" t="n"/>
    </row>
    <row r="29">
      <c r="A29" s="3" t="inlineStr">
        <is>
          <t>Schrittmotor NEMA 14 – StepperOnline 14HS13-0804S</t>
        </is>
      </c>
      <c r="B29" s="4" t="inlineStr">
        <is>
          <t>StepperOnline</t>
        </is>
      </c>
      <c r="C29" s="4" t="n">
        <v>1</v>
      </c>
      <c r="D29" s="6" t="n">
        <v>7.72</v>
      </c>
      <c r="E29" s="6">
        <f>IF(AND(ISNUMBER(C29),ISNUMBER(D29)),C29*D29,0)</f>
        <v/>
      </c>
      <c r="F29" s="4" t="inlineStr">
        <is>
          <t>x</t>
        </is>
      </c>
      <c r="G29" s="3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H29" s="4" t="inlineStr">
        <is>
          <t>https://www.omc-stepperonline.com/de/nema-14-bipolar-1-8deg-18ncm-25-5oz-in-0-8a-5-74v-35x35x34mm-4-draehte-14hs13-0804s</t>
        </is>
      </c>
    </row>
    <row r="30">
      <c r="A30" s="3" t="inlineStr">
        <is>
          <t>Wellenhalter Flansch SHF10, D10</t>
        </is>
      </c>
      <c r="B30" s="4" t="inlineStr">
        <is>
          <t>DOLD</t>
        </is>
      </c>
      <c r="C30" s="4" t="n">
        <v>4</v>
      </c>
      <c r="D30" s="6" t="n">
        <v>3.8</v>
      </c>
      <c r="E30" s="6">
        <f>IF(AND(ISNUMBER(C30),ISNUMBER(D30)),C30*D30,0)</f>
        <v/>
      </c>
      <c r="F30" s="4" t="inlineStr">
        <is>
          <t>x</t>
        </is>
      </c>
      <c r="G30" s="3" t="inlineStr">
        <is>
          <t>Halter für die 2 runden X-Führungswellen je Brücke, beidseitig (CAD rod_holder_flange_d10_dold, 16 im Vollausbau)</t>
        </is>
      </c>
      <c r="H30" s="4" t="inlineStr">
        <is>
          <t>https://www.dold-mechatronik.de/Wellenhalter-Flansch-SHF-Ausfuehrung-waehlbar</t>
        </is>
      </c>
    </row>
    <row r="31">
      <c r="A31" s="3" t="inlineStr">
        <is>
          <t>Präzisionswelle D10, 450mm mit M6 Gewinde</t>
        </is>
      </c>
      <c r="B31" s="4" t="inlineStr">
        <is>
          <t>DOLD</t>
        </is>
      </c>
      <c r="C31" s="4" t="n">
        <v>2</v>
      </c>
      <c r="D31" s="6" t="n">
        <v>8.699999999999999</v>
      </c>
      <c r="E31" s="6">
        <f>IF(AND(ISNUMBER(C31),ISNUMBER(D31)),C31*D31,0)</f>
        <v/>
      </c>
      <c r="F31" s="4" t="inlineStr">
        <is>
          <t>x</t>
        </is>
      </c>
      <c r="G31" s="3" t="inlineStr">
        <is>
          <t>(DOLD-Angebot Pos 26)</t>
        </is>
      </c>
      <c r="H31" s="4" t="inlineStr">
        <is>
          <t>https://www.dold-mechatronik.de/Praezisionswelle-10mm-h6-geschliffen-gehaertet-450mm-mit-Gewindebohrungen-M5x20</t>
        </is>
      </c>
    </row>
    <row r="32">
      <c r="A32" s="3" t="inlineStr">
        <is>
          <t>Endschalter induktiv M8, LJ8A3-2-Z/BX (NPN, Schließer, 2 mm)</t>
        </is>
      </c>
      <c r="B32" s="4" t="inlineStr">
        <is>
          <t>Amazon</t>
        </is>
      </c>
      <c r="C32" s="4" t="n">
        <v>1</v>
      </c>
      <c r="D32" s="6" t="n">
        <v>6.89</v>
      </c>
      <c r="E32" s="6">
        <f>IF(AND(ISNUMBER(C32),ISNUMBER(D32)),C32*D32,0)</f>
        <v/>
      </c>
      <c r="F32" s="4" t="inlineStr">
        <is>
          <t>x</t>
        </is>
      </c>
      <c r="G32" s="3" t="inlineStr">
        <is>
          <t>ERSATZ für M12: CAD-Halter haben 8,1-mm-Bohrung. 1 je Probe (Y-max), wie in der Firmware</t>
        </is>
      </c>
      <c r="H32" s="4" t="inlineStr">
        <is>
          <t>https://www.amazon.de/Induktive-N%C3%A4herungsschalter-LJ8-A3-2-z-BX-Normalerweise/dp/B072Q68493/</t>
        </is>
      </c>
    </row>
    <row r="33">
      <c r="A33" s="3" t="n"/>
      <c r="B33" s="4" t="n"/>
      <c r="C33" s="4" t="n"/>
      <c r="D33" s="4" t="n"/>
      <c r="E33" s="4" t="n"/>
      <c r="F33" s="4" t="n"/>
      <c r="G33" s="3" t="n"/>
      <c r="H33" s="4" t="n"/>
    </row>
    <row r="34">
      <c r="A34" s="5" t="inlineStr">
        <is>
          <t>Y-Schlitten mit Z-Antrieb / Führung (je Probe)</t>
        </is>
      </c>
      <c r="B34" s="4" t="n"/>
      <c r="C34" s="4" t="n"/>
      <c r="D34" s="4" t="n"/>
      <c r="E34" s="4" t="n"/>
      <c r="F34" s="4" t="n"/>
      <c r="G34" s="3" t="n"/>
      <c r="H34" s="4" t="n"/>
    </row>
    <row r="35">
      <c r="A35" s="3" t="inlineStr">
        <is>
          <t>Vollkunststoffgleitlager RJMP DryLin igus, D10</t>
        </is>
      </c>
      <c r="B35" s="4" t="inlineStr">
        <is>
          <t>DOLD</t>
        </is>
      </c>
      <c r="C35" s="4" t="n">
        <v>4</v>
      </c>
      <c r="D35" s="6" t="n">
        <v>4.2</v>
      </c>
      <c r="E35" s="6">
        <f>IF(AND(ISNUMBER(C35),ISNUMBER(D35)),C35*D35,0)</f>
        <v/>
      </c>
      <c r="F35" s="4" t="inlineStr">
        <is>
          <t>x</t>
        </is>
      </c>
      <c r="G35" s="3" t="inlineStr">
        <is>
          <t>(DOLD-Angebot Pos 32)</t>
        </is>
      </c>
      <c r="H35" s="4" t="inlineStr">
        <is>
          <t>https://www.dold-mechatronik.de/Vollkunststofflager-RJMP-01-10-DryLinZ-von-igusZ</t>
        </is>
      </c>
    </row>
    <row r="36">
      <c r="A36" s="3" t="inlineStr">
        <is>
          <t>Sicherungsring Bohrung DIN 472, D22</t>
        </is>
      </c>
      <c r="B36" s="4" t="inlineStr">
        <is>
          <t>DOLD</t>
        </is>
      </c>
      <c r="C36" s="4" t="n">
        <v>4</v>
      </c>
      <c r="D36" s="6" t="n">
        <v>0.15</v>
      </c>
      <c r="E36" s="6">
        <f>IF(AND(ISNUMBER(C36),ISNUMBER(D36)),C36*D36,0)</f>
        <v/>
      </c>
      <c r="F36" s="4" t="inlineStr">
        <is>
          <t>x</t>
        </is>
      </c>
      <c r="G36" s="3" t="inlineStr">
        <is>
          <t>(DOLD-Angebot Pos 33)</t>
        </is>
      </c>
      <c r="H36" s="4" t="inlineStr">
        <is>
          <t>https://www.dold-mechatronik.de/DIN-472-Form-I-Sicherungsring-fuer-Bohrungen-Stahl-blank-I22</t>
        </is>
      </c>
    </row>
    <row r="37">
      <c r="A37" s="3" t="inlineStr">
        <is>
          <t>Schrittmotor NEMA 14 – StepperOnline 14HS13-0804S</t>
        </is>
      </c>
      <c r="B37" s="4" t="inlineStr">
        <is>
          <t>StepperOnline</t>
        </is>
      </c>
      <c r="C37" s="4" t="n">
        <v>1</v>
      </c>
      <c r="D37" s="6" t="n">
        <v>7.72</v>
      </c>
      <c r="E37" s="6">
        <f>IF(AND(ISNUMBER(C37),ISNUMBER(D37)),C37*D37,0)</f>
        <v/>
      </c>
      <c r="F37" s="4" t="inlineStr">
        <is>
          <t>x</t>
        </is>
      </c>
      <c r="G37" s="3" t="inlineStr">
        <is>
          <t>ERSATZ für Nanotec ST3518M1004-A (Produktseite nicht mehr erreichbar, Lieferbarkeit unklar): offener Regelkreis wie Original, 1,8°, 18 Ncm, 0,8 A, 6,8 Ω, 10 mH, 35x35x34,8 mm, Welle Ø5 x 24 mm mit D-Schnitt, Litze 400 mm. Firmware: X/X2/Y/Z_CURRENT von 800 auf ca. 560–600 mA RMS senken. Passung im CAD noch prüfen (Original 36 mm lang). Preis = 7,72 € Lager China (Lager DE +2,72 €, am 27.10.2026 kein DE-Bestand); MwSt. im Warenkorb prüfen</t>
        </is>
      </c>
      <c r="H37" s="4" t="inlineStr">
        <is>
          <t>https://www.omc-stepperonline.com/de/nema-14-bipolar-1-8deg-18ncm-25-5oz-in-0-8a-5-74v-35x35x34mm-4-draehte-14hs13-0804s</t>
        </is>
      </c>
    </row>
    <row r="38">
      <c r="A38" s="3" t="inlineStr">
        <is>
          <t>Zahnriemenrad GT2 6mm, 16 Zähne, Bohrung 5 mm (X, Y, Z)</t>
        </is>
      </c>
      <c r="B38" s="4" t="inlineStr">
        <is>
          <t>DOLD</t>
        </is>
      </c>
      <c r="C38" s="4" t="n">
        <v>4</v>
      </c>
      <c r="D38" s="6" t="n">
        <v>2.9</v>
      </c>
      <c r="E38" s="6">
        <f>IF(AND(ISNUMBER(C38),ISNUMBER(D38)),C38*D38,0)</f>
        <v/>
      </c>
      <c r="F38" s="4" t="inlineStr">
        <is>
          <t>x</t>
        </is>
      </c>
      <c r="G38" s="3" t="inlineStr">
        <is>
          <t>ANPASSUNG: 4 je Probe = 2 × X-Motor, 1 × Y-Motor, 1 × Z-Motor. DOLD-Angebot Pos 35 nur 1 Stk → auf 16 erhöhen (DOLD-Angebot Pos 35)</t>
        </is>
      </c>
      <c r="H38" s="4" t="inlineStr">
        <is>
          <t>https://www.dold-mechatronik.de/Zahnriemenrad-GT2-6mm-breit-16-Zaehne-Bohrung-500mm-H7-mit-Klemmschrauben</t>
        </is>
      </c>
    </row>
    <row r="39">
      <c r="A39" s="3" t="inlineStr">
        <is>
          <t>Umlenkrolle GT2 6mm, 16 Zähne, mit Kugellager, Bohrung 3 mm (X, Y, Z)</t>
        </is>
      </c>
      <c r="B39" s="4" t="inlineStr">
        <is>
          <t>DOLD</t>
        </is>
      </c>
      <c r="C39" s="4" t="n">
        <v>4</v>
      </c>
      <c r="D39" s="6" t="n">
        <v>3.2</v>
      </c>
      <c r="E39" s="6">
        <f>IF(AND(ISNUMBER(C39),ISNUMBER(D39)),C39*D39,0)</f>
        <v/>
      </c>
      <c r="F39" s="4" t="inlineStr">
        <is>
          <t>x</t>
        </is>
      </c>
      <c r="G39" s="3" t="inlineStr">
        <is>
          <t>ANPASSUNG: 4 je Probe = 2 × X-Riemenspanner, 1 × Y-Riemenspanner, 1 × Z-Umlenkung (CAD zeigt 20, davon 8 doppelt gezeichnet). DOLD-Angebot Pos 36 nur 1 Stk → auf 16 erhöhen (DOLD-Angebot Pos 36)</t>
        </is>
      </c>
      <c r="H39" s="4" t="inlineStr">
        <is>
          <t>https://www.dold-mechatronik.de/Umlenkrolle-Zahnriemenrad-mit-Kugellager-GT2-6mm-breit-16-Zaehne-Bohrung-300mm</t>
        </is>
      </c>
    </row>
    <row r="40">
      <c r="A40" s="3" t="inlineStr">
        <is>
          <t>Zahnriemen GT2, 6 mm breit, je 1 Meter (X, Y, Z)</t>
        </is>
      </c>
      <c r="B40" s="4" t="inlineStr">
        <is>
          <t>DOLD</t>
        </is>
      </c>
      <c r="C40" s="4" t="n">
        <v>5</v>
      </c>
      <c r="D40" s="6" t="n">
        <v>2.5</v>
      </c>
      <c r="E40" s="6">
        <f>IF(AND(ISNUMBER(C40),ISNUMBER(D40)),C40*D40,0)</f>
        <v/>
      </c>
      <c r="F40" s="4" t="inlineStr">
        <is>
          <t>x</t>
        </is>
      </c>
      <c r="G40" s="3" t="inlineStr">
        <is>
          <t>ANPASSUNG: 5 m je Probe (Bedarf 4,13 m: X 2 × 1,43 m, Y 1,02 m, Z 0,25 m; CAD zeigt Z 9 mm breit, wir nehmen 6 mm). DOLD-Angebot Pos 37 nur 1 m → auf 20 m erhöhen (DOLD-Angebot Pos 37)</t>
        </is>
      </c>
      <c r="H40" s="4" t="inlineStr">
        <is>
          <t>https://www.dold-mechatronik.de/Zahnriemen-GT2-Breite-6mm-Laenge-1-Meter</t>
        </is>
      </c>
    </row>
    <row r="41">
      <c r="A41" s="3" t="inlineStr">
        <is>
          <t>Linearwagen MR12 MN-SS-V0-N</t>
        </is>
      </c>
      <c r="B41" s="4" t="inlineStr">
        <is>
          <t>Motedis</t>
        </is>
      </c>
      <c r="C41" s="4" t="n">
        <v>1</v>
      </c>
      <c r="D41" s="6" t="n">
        <v>18.6</v>
      </c>
      <c r="E41" s="6">
        <f>IF(AND(ISNUMBER(C41),ISNUMBER(D41)),C41*D41,0)</f>
        <v/>
      </c>
      <c r="F41" s="4" t="inlineStr">
        <is>
          <t>x</t>
        </is>
      </c>
      <c r="G41" s="3" t="inlineStr">
        <is>
          <t>(DOLD-Angebot Pos 38)</t>
        </is>
      </c>
      <c r="H41" s="4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3" t="inlineStr">
        <is>
          <t>6 Stück optische Endstops mit Kabel</t>
        </is>
      </c>
      <c r="B42" s="4" t="inlineStr">
        <is>
          <t>Amazon</t>
        </is>
      </c>
      <c r="C42" s="4" t="n">
        <v>1</v>
      </c>
      <c r="D42" s="6" t="n">
        <v>10.69</v>
      </c>
      <c r="E42" s="6">
        <f>IF(AND(ISNUMBER(C42),ISNUMBER(D42)),C42*D42,0)</f>
        <v/>
      </c>
      <c r="F42" s="4" t="inlineStr">
        <is>
          <t>x</t>
        </is>
      </c>
      <c r="G42" s="3" t="n"/>
      <c r="H42" s="4" t="inlineStr">
        <is>
          <t>https://www.amazon.de/gp/product/B07PX8ZFXN/ref=ox_sc_act_title_2?smid=AS8JK4HNTE2NO&amp;psc=1</t>
        </is>
      </c>
    </row>
    <row r="43">
      <c r="A43" s="3" t="inlineStr">
        <is>
          <t>USB-Mikroskop Toolcraft 2 MP, 20–200× (Ø33 × 110 mm)</t>
        </is>
      </c>
      <c r="B43" s="4" t="inlineStr">
        <is>
          <t>Voelkner</t>
        </is>
      </c>
      <c r="C43" s="4" t="n">
        <v>1</v>
      </c>
      <c r="D43" s="6" t="n">
        <v>57.41</v>
      </c>
      <c r="E43" s="6">
        <f>IF(AND(ISNUMBER(C43),ISNUMBER(D43)),C43*D43,0)</f>
        <v/>
      </c>
      <c r="F43" s="4" t="inlineStr">
        <is>
          <t>x</t>
        </is>
      </c>
      <c r="G43" s="3" t="inlineStr">
        <is>
          <t>ANPASSUNG: 1 je Probe (4 im Vollausbau), voelkner Art.-Nr. D929041 (= Conrad 1713197). 57,41 € ab 3 Stück, Einzelpreis 57,99 €. Die Original-Halter y_camera_holder klemmen Ø42 mm, das Toolcraft hat Ø33 mm → je Mikroskop eine gedruckte, geschlitzte PETG-Adapterhülse Ø33/Ø42 (4,5 mm Wand). Linux/UVC und MJPEG sind vom Händler nicht angegeben: erstes Gerät mit v4l2-ctl --list-formats-ext prüfen.</t>
        </is>
      </c>
      <c r="H43" s="4" t="inlineStr">
        <is>
          <t>https://www.voelkner.de/products/1177903/TOOLCRAFT-USB-Mikroskop-2-Megapixel-Digitale-Vergroesserung-max.-200-x.html</t>
        </is>
      </c>
    </row>
    <row r="44">
      <c r="A44" s="3" t="n"/>
      <c r="B44" s="4" t="n"/>
      <c r="C44" s="4" t="n"/>
      <c r="D44" s="4" t="n"/>
      <c r="E44" s="4" t="n"/>
      <c r="F44" s="4" t="n"/>
      <c r="G44" s="3" t="n"/>
      <c r="H44" s="4" t="n"/>
    </row>
    <row r="45">
      <c r="A45" s="5" t="inlineStr">
        <is>
          <t>Z-Schlitten (je Probe)</t>
        </is>
      </c>
      <c r="B45" s="4" t="n"/>
      <c r="C45" s="4" t="n"/>
      <c r="D45" s="4" t="n"/>
      <c r="E45" s="4" t="n"/>
      <c r="F45" s="4" t="n"/>
      <c r="G45" s="3" t="n"/>
      <c r="H45" s="4" t="n"/>
    </row>
    <row r="46">
      <c r="A46" s="3" t="inlineStr">
        <is>
          <t>Profilschienenführung, MR12, 150mm, Edelstahl</t>
        </is>
      </c>
      <c r="B46" s="4" t="inlineStr">
        <is>
          <t>DOLD</t>
        </is>
      </c>
      <c r="C46" s="4" t="n">
        <v>1</v>
      </c>
      <c r="D46" s="6" t="n">
        <v>20.55</v>
      </c>
      <c r="E46" s="6">
        <f>IF(AND(ISNUMBER(C46),ISNUMBER(D46)),C46*D46,0)</f>
        <v/>
      </c>
      <c r="F46" s="4" t="inlineStr">
        <is>
          <t>x</t>
        </is>
      </c>
      <c r="G46" s="3" t="inlineStr">
        <is>
          <t>(DOLD-Angebot Pos 40)</t>
        </is>
      </c>
      <c r="H46" s="4" t="inlineStr">
        <is>
          <t>https://www.dold-mechatronik.de/Linearfuehrung-MR-12-M-Edelstahl-150mm</t>
        </is>
      </c>
    </row>
    <row r="47">
      <c r="A47" s="3" t="inlineStr">
        <is>
          <t>Probespitze</t>
        </is>
      </c>
      <c r="B47" s="4" t="n"/>
      <c r="C47" s="4" t="n">
        <v>1</v>
      </c>
      <c r="D47" s="6" t="inlineStr">
        <is>
          <t>?</t>
        </is>
      </c>
      <c r="E47" s="6">
        <f>IF(AND(ISNUMBER(C47),ISNUMBER(D47)),C47*D47,0)</f>
        <v/>
      </c>
      <c r="F47" s="4" t="inlineStr">
        <is>
          <t>x</t>
        </is>
      </c>
      <c r="G47" s="3" t="n"/>
      <c r="H47" s="7" t="n"/>
    </row>
    <row r="48">
      <c r="A48" s="3" t="n"/>
      <c r="B48" s="4" t="n"/>
      <c r="C48" s="4" t="n"/>
      <c r="D48" s="4" t="n"/>
      <c r="E48" s="4" t="n"/>
      <c r="F48" s="4" t="n"/>
      <c r="G48" s="3" t="n"/>
      <c r="H48" s="4" t="n"/>
    </row>
    <row r="49">
      <c r="A49" s="5" t="inlineStr">
        <is>
          <t>Elektronik</t>
        </is>
      </c>
      <c r="B49" s="4" t="n"/>
      <c r="C49" s="4" t="n"/>
      <c r="D49" s="4" t="n"/>
      <c r="E49" s="4" t="n"/>
      <c r="F49" s="4" t="n"/>
      <c r="G49" s="3" t="n"/>
      <c r="H49" s="4" t="n"/>
    </row>
    <row r="50">
      <c r="A50" s="3" t="inlineStr">
        <is>
          <t>BIGTREETECH SKR V1.4 Turbo Mainboard (ohne Schrittmotortreiber)</t>
        </is>
      </c>
      <c r="B50" s="4" t="inlineStr">
        <is>
          <t>Roboter-Bausatz</t>
        </is>
      </c>
      <c r="C50" s="4" t="n">
        <v>1</v>
      </c>
      <c r="D50" s="6" t="n">
        <v>49.95</v>
      </c>
      <c r="E50" s="6">
        <f>IF(AND(ISNUMBER(C50),ISNUMBER(D50)),C50*D50,0)</f>
        <v/>
      </c>
      <c r="F50" s="4" t="inlineStr">
        <is>
          <t>x</t>
        </is>
      </c>
      <c r="G50" s="3" t="inlineStr">
        <is>
          <t>ERSATZ für SKR V1.3 (in der SCHUTZWERK-BOM als „Smoothieboard ohne Stepper Treiber“ bezeichnet, Amazon-Link führt auf PoPprint SKR V1.3, derzeit nicht verfügbar). LPC1769, 120 MHz, 5 steckbare Treiberplätze, TMC2130 per SPI. Firmware: MOTHERBOARD BOARD_BTT_SKR_V1_4_TURBO, PlatformIO-Umgebung LPC1769. Preis = 49,95 € inkl. MwSt. bis 4 Stück, sofort lieferbar (27.10.2026). Roboter-Bausatz RBS13645</t>
        </is>
      </c>
      <c r="H50" s="4" t="inlineStr">
        <is>
          <t>https://www.roboter-bausatz.de/p/btt-skr-1.4-turbo-32-bit-mainboard</t>
        </is>
      </c>
    </row>
    <row r="51">
      <c r="A51" s="3" t="inlineStr">
        <is>
          <t>BTT TMC2130 V3.0 SPI Schrittmotortreiber</t>
        </is>
      </c>
      <c r="B51" s="4" t="inlineStr">
        <is>
          <t>Roboter-Bausatz</t>
        </is>
      </c>
      <c r="C51" s="4" t="n">
        <v>4</v>
      </c>
      <c r="D51" s="6" t="n">
        <v>13.65</v>
      </c>
      <c r="E51" s="6">
        <f>IF(AND(ISNUMBER(C51),ISNUMBER(D51)),C51*D51,0)</f>
        <v/>
      </c>
      <c r="F51" s="4" t="inlineStr">
        <is>
          <t>x</t>
        </is>
      </c>
      <c r="G51" s="3" t="inlineStr">
        <is>
          <t>ERSATZ für 4 x TMC2130 V2.0 (PoPprint-Set, Amazon): gleicher Chip, aktuelles BTT-Modul in SPI-Ausführung. 4 je Probe (X, X2, Y, Z), 16 im Vollausbau. Auf der SKR die SPI-Jumper setzen. Preis = 13,65 € inkl. MwSt. bei 5–19 Stück (bis 4: 13,97 €, ab 20: 12,99 €), sofort lieferbar (27.10.2026), Roboter-Bausatz RBS18267. Zusammen mit dem Board bei einem Händler bestellt; bei Tinytronics (NL) 8,75 €/Stück, bei BIQU SPI-Variante ausverkauft</t>
        </is>
      </c>
      <c r="H51" s="4" t="inlineStr">
        <is>
          <t>https://www.roboter-bausatz.de/p/btt-tmc2130-v3.0-spi-schrittmotortreiber</t>
        </is>
      </c>
    </row>
    <row r="52">
      <c r="A52" s="3" t="inlineStr">
        <is>
          <t>Schaltnetzteil Mean Well SDR-240-24, Hutschiene, 24 V / 10 A / 240 W</t>
        </is>
      </c>
      <c r="B52" s="4" t="inlineStr">
        <is>
          <t>DOLD</t>
        </is>
      </c>
      <c r="C52" s="4" t="n">
        <v>1</v>
      </c>
      <c r="D52" s="6" t="n">
        <v>84.79000000000001</v>
      </c>
      <c r="E52" s="6">
        <f>IF(AND(ISNUMBER(C52),ISNUMBER(D52)),C52*D52,0)</f>
        <v/>
      </c>
      <c r="F52" s="4" t="n"/>
      <c r="G52" s="3" t="inlineStr">
        <is>
          <t>ANPASSUNG: 1 zentrales Netzteil für alle 4 Probes statt 1 je Probe (SCHUTZWERK: Kingled 24 V / 200 W je Probe). ERSATZ für Kingled: Mean Well Industrieausführung mit PFC, berührgeschützte Klemmen. Bedarf ca. 150 W im ungünstigsten Fall (16 Motoren ≤ 110 W, 4 Boards ≈ 10 W, Licht ca. 20–30 W). Verteilung auf die 4 SKR-Boards je Board abgesichert; 230-V-Seite durch Elektrofachkraft. Einmalige Position: in „Rahmen / Gestell (einmalig)“ enthalten, nicht in „je weitere Probe“. Preis = 84,79 € inkl. MwSt., sofort verfügbar (27.10.2026)</t>
        </is>
      </c>
      <c r="H52" s="4" t="inlineStr">
        <is>
          <t>https://www.dold-mechatronik.de/Switching-power-supply-DIN-rail-240-W-24-V-10-A</t>
        </is>
      </c>
    </row>
    <row r="53">
      <c r="A53" s="3" t="inlineStr">
        <is>
          <t>Schukokabel</t>
        </is>
      </c>
      <c r="B53" s="4" t="n"/>
      <c r="C53" s="7" t="n"/>
      <c r="D53" s="6" t="n"/>
      <c r="E53" s="6">
        <f>IF(AND(ISNUMBER(C53),ISNUMBER(D53)),C53*D53,0)</f>
        <v/>
      </c>
      <c r="F53" s="4" t="inlineStr">
        <is>
          <t>x</t>
        </is>
      </c>
      <c r="G53" s="3" t="n"/>
      <c r="H53" s="7" t="n"/>
    </row>
    <row r="54">
      <c r="A54" s="3" t="inlineStr">
        <is>
          <t>Kabel Probe</t>
        </is>
      </c>
      <c r="B54" s="4" t="n"/>
      <c r="C54" s="7" t="n"/>
      <c r="D54" s="6" t="n"/>
      <c r="E54" s="6">
        <f>IF(AND(ISNUMBER(C54),ISNUMBER(D54)),C54*D54,0)</f>
        <v/>
      </c>
      <c r="F54" s="4" t="inlineStr">
        <is>
          <t>x</t>
        </is>
      </c>
      <c r="G54" s="3" t="n"/>
      <c r="H54" s="7" t="n"/>
    </row>
    <row r="55">
      <c r="A55" s="3" t="inlineStr">
        <is>
          <t>Gehäuse für Elektronik</t>
        </is>
      </c>
      <c r="B55" s="4" t="n"/>
      <c r="C55" s="7" t="n"/>
      <c r="D55" s="6" t="n"/>
      <c r="E55" s="6">
        <f>IF(AND(ISNUMBER(C55),ISNUMBER(D55)),C55*D55,0)</f>
        <v/>
      </c>
      <c r="F55" s="4" t="n"/>
      <c r="G55" s="3" t="n"/>
      <c r="H55" s="7" t="n"/>
    </row>
    <row r="56">
      <c r="A56" s="3" t="inlineStr">
        <is>
          <t>Energiekette igus E2i.10.20.028.0 (X), 14 Glieder = 0,28 m, inkl. Anschlussset E2.100.20.34PZ.A2</t>
        </is>
      </c>
      <c r="B56" s="4" t="inlineStr">
        <is>
          <t>igus</t>
        </is>
      </c>
      <c r="C56" s="4" t="n">
        <v>2</v>
      </c>
      <c r="D56" s="6">
        <f>(14*0.49+6.48)*1.19</f>
        <v/>
      </c>
      <c r="E56" s="6">
        <f>IF(AND(ISNUMBER(C56),ISNUMBER(D56)),C56*D56,0)</f>
        <v/>
      </c>
      <c r="F56" s="4" t="inlineStr">
        <is>
          <t>x</t>
        </is>
      </c>
      <c r="G56" s="3" t="inlineStr">
        <is>
          <t>2 je Probe (8 im Vollausbau). igus-Preise netto: 0,49 €/Glied + 6,48 € Anschlussset, hier inkl. 19 % MwSt.; versandfertig in 24 h</t>
        </is>
      </c>
      <c r="H56" s="4" t="inlineStr">
        <is>
          <t>https://www.igus.de/product/series-E2i-10?artnr=E2I.10.20.028.0</t>
        </is>
      </c>
    </row>
    <row r="57">
      <c r="A57" s="3" t="inlineStr">
        <is>
          <t>Energiekette igus E2i.10.10.028.0 (Y), 12 Glieder = 0,24 m, inkl. Anschlussset E2.100.10.34PZ.A2</t>
        </is>
      </c>
      <c r="B57" s="4" t="inlineStr">
        <is>
          <t>igus</t>
        </is>
      </c>
      <c r="C57" s="4" t="n">
        <v>2</v>
      </c>
      <c r="D57" s="6">
        <f>(12*0.47+6.2)*1.19</f>
        <v/>
      </c>
      <c r="E57" s="6">
        <f>IF(AND(ISNUMBER(C57),ISNUMBER(D57)),C57*D57,0)</f>
        <v/>
      </c>
      <c r="F57" s="4" t="inlineStr">
        <is>
          <t>x</t>
        </is>
      </c>
      <c r="G57" s="3" t="inlineStr">
        <is>
          <t>2 je Probe (8 im Vollausbau). Die 8 kollidierenden Doppel-Ketten im CAD wurden gelöscht. igus-Preise netto: 0,47 €/Glied + 6,20 € Anschlussset, hier inkl. 19 % MwSt.; versandfertig in 72 h</t>
        </is>
      </c>
      <c r="H57" s="4" t="inlineStr">
        <is>
          <t>https://www.igus.de/product/series-E2i-10?artnr=E2i.10.10.028.0</t>
        </is>
      </c>
    </row>
    <row r="58">
      <c r="A58" s="3" t="inlineStr">
        <is>
          <t>Kabel für Endschalter</t>
        </is>
      </c>
      <c r="B58" s="4" t="n"/>
      <c r="C58" s="7" t="n"/>
      <c r="D58" s="6" t="n"/>
      <c r="E58" s="6">
        <f>IF(AND(ISNUMBER(C58),ISNUMBER(D58)),C58*D58,0)</f>
        <v/>
      </c>
      <c r="F58" s="4" t="inlineStr">
        <is>
          <t>x</t>
        </is>
      </c>
      <c r="G58" s="3" t="n"/>
      <c r="H58" s="7" t="n"/>
    </row>
    <row r="59">
      <c r="A59" s="3" t="inlineStr">
        <is>
          <t>Motorkabel</t>
        </is>
      </c>
      <c r="B59" s="4" t="n"/>
      <c r="C59" s="7" t="n"/>
      <c r="D59" s="6" t="n"/>
      <c r="E59" s="6">
        <f>IF(AND(ISNUMBER(C59),ISNUMBER(D59)),C59*D59,0)</f>
        <v/>
      </c>
      <c r="F59" s="4" t="inlineStr">
        <is>
          <t>x</t>
        </is>
      </c>
      <c r="G59" s="3" t="n"/>
      <c r="H59" s="7" t="n"/>
    </row>
    <row r="60">
      <c r="A60" s="3" t="inlineStr">
        <is>
          <t>USB-Hub</t>
        </is>
      </c>
      <c r="B60" s="4" t="inlineStr">
        <is>
          <t>Amazon</t>
        </is>
      </c>
      <c r="C60" s="4" t="n">
        <v>1</v>
      </c>
      <c r="D60" s="6" t="n">
        <v>9.99</v>
      </c>
      <c r="E60" s="6">
        <f>IF(AND(ISNUMBER(C60),ISNUMBER(D60)),C60*D60,0)</f>
        <v/>
      </c>
      <c r="F60" s="4" t="n"/>
      <c r="G60" s="3" t="inlineStr">
        <is>
          <t>aus Blatt BOM_2 übernommen</t>
        </is>
      </c>
      <c r="H60" s="4" t="inlineStr">
        <is>
          <t>https://www.amazon.de/Anker-Datenhub-Ultrabooks-weiteren-kompatiblen/dp/B00Y211AFM/</t>
        </is>
      </c>
    </row>
    <row r="61">
      <c r="A61" s="3" t="n"/>
      <c r="B61" s="4" t="n"/>
      <c r="C61" s="4" t="n"/>
      <c r="D61" s="4" t="n"/>
      <c r="E61" s="4" t="n"/>
      <c r="F61" s="4" t="n"/>
      <c r="G61" s="3" t="n"/>
      <c r="H61" s="4" t="n"/>
    </row>
    <row r="62">
      <c r="A62" s="5" t="inlineStr">
        <is>
          <t>Schrauben, Muttern &amp; Kleinteile (Menge für Vollausbau)</t>
        </is>
      </c>
      <c r="B62" s="4" t="n"/>
      <c r="C62" s="4" t="n"/>
      <c r="D62" s="4" t="n"/>
      <c r="E62" s="4" t="n"/>
      <c r="F62" s="4" t="n"/>
      <c r="G62" s="3" t="n"/>
      <c r="H62" s="4" t="n"/>
    </row>
    <row r="63">
      <c r="A63" s="3" t="inlineStr">
        <is>
          <t>DIN 912 (ISO 4762) Zylinderschraube M3x8, A2</t>
        </is>
      </c>
      <c r="B63" s="4" t="inlineStr">
        <is>
          <t>DOLD</t>
        </is>
      </c>
      <c r="C63" s="4" t="n">
        <v>58</v>
      </c>
      <c r="D63" s="6" t="n"/>
      <c r="E63" s="6">
        <f>IF(AND(ISNUMBER(C63),ISNUMBER(D63)),C63*D63,0)</f>
        <v/>
      </c>
      <c r="F63" s="4" t="n"/>
      <c r="G63" s="3" t="inlineStr">
        <is>
          <t>CAD 52 + Reserve 6; Stückpreis je Größe im Shop wählen</t>
        </is>
      </c>
      <c r="H63" s="4" t="inlineStr">
        <is>
          <t>https://www.dold-mechatronik.de/DIN-912-Zylinderschraube-mit-Innensechskant,-Edelstahl-A2</t>
        </is>
      </c>
    </row>
    <row r="64">
      <c r="A64" s="3" t="inlineStr">
        <is>
          <t>DIN 912 (ISO 4762) Zylinderschraube M3x10, A2</t>
        </is>
      </c>
      <c r="B64" s="4" t="inlineStr">
        <is>
          <t>DOLD</t>
        </is>
      </c>
      <c r="C64" s="4" t="n">
        <v>66</v>
      </c>
      <c r="D64" s="6" t="n"/>
      <c r="E64" s="6">
        <f>IF(AND(ISNUMBER(C64),ISNUMBER(D64)),C64*D64,0)</f>
        <v/>
      </c>
      <c r="F64" s="4" t="n"/>
      <c r="G64" s="3" t="inlineStr">
        <is>
          <t>CAD 60 + Reserve 6; Stückpreis je Größe im Shop wählen</t>
        </is>
      </c>
      <c r="H64" s="4" t="inlineStr">
        <is>
          <t>https://www.dold-mechatronik.de/DIN-912-Zylinderschraube-mit-Innensechskant,-Edelstahl-A2</t>
        </is>
      </c>
    </row>
    <row r="65">
      <c r="A65" s="3" t="inlineStr">
        <is>
          <t>DIN 912 (ISO 4762) Zylinderschraube M3x12, A2</t>
        </is>
      </c>
      <c r="B65" s="4" t="inlineStr">
        <is>
          <t>DOLD</t>
        </is>
      </c>
      <c r="C65" s="4" t="n">
        <v>10</v>
      </c>
      <c r="D65" s="6" t="n"/>
      <c r="E65" s="6">
        <f>IF(AND(ISNUMBER(C65),ISNUMBER(D65)),C65*D65,0)</f>
        <v/>
      </c>
      <c r="F65" s="4" t="n"/>
      <c r="G65" s="3" t="inlineStr">
        <is>
          <t>CAD 8 + Reserve 2; Stückpreis je Größe im Shop wählen</t>
        </is>
      </c>
      <c r="H65" s="4" t="inlineStr">
        <is>
          <t>https://www.dold-mechatronik.de/DIN-912-Zylinderschraube-mit-Innensechskant,-Edelstahl-A2</t>
        </is>
      </c>
    </row>
    <row r="66">
      <c r="A66" s="3" t="inlineStr">
        <is>
          <t>DIN 912 (ISO 4762) Zylinderschraube M3x14, A2</t>
        </is>
      </c>
      <c r="B66" s="4" t="inlineStr">
        <is>
          <t>DOLD</t>
        </is>
      </c>
      <c r="C66" s="4" t="n">
        <v>6</v>
      </c>
      <c r="D66" s="6" t="n"/>
      <c r="E66" s="6">
        <f>IF(AND(ISNUMBER(C66),ISNUMBER(D66)),C66*D66,0)</f>
        <v/>
      </c>
      <c r="F66" s="4" t="n"/>
      <c r="G66" s="3" t="inlineStr">
        <is>
          <t>CAD 4 + Reserve 2; Stückpreis je Größe im Shop wählen</t>
        </is>
      </c>
      <c r="H66" s="4" t="inlineStr">
        <is>
          <t>https://www.dold-mechatronik.de/DIN-912-Zylinderschraube-mit-Innensechskant,-Edelstahl-A2</t>
        </is>
      </c>
    </row>
    <row r="67">
      <c r="A67" s="3" t="inlineStr">
        <is>
          <t>DIN 912 (ISO 4762) Zylinderschraube M3x16, A2</t>
        </is>
      </c>
      <c r="B67" s="4" t="inlineStr">
        <is>
          <t>DOLD</t>
        </is>
      </c>
      <c r="C67" s="4" t="n">
        <v>22</v>
      </c>
      <c r="D67" s="6" t="n"/>
      <c r="E67" s="6">
        <f>IF(AND(ISNUMBER(C67),ISNUMBER(D67)),C67*D67,0)</f>
        <v/>
      </c>
      <c r="F67" s="4" t="n"/>
      <c r="G67" s="3" t="inlineStr">
        <is>
          <t>CAD 20 + Reserve 2; Stückpreis je Größe im Shop wählen</t>
        </is>
      </c>
      <c r="H67" s="4" t="inlineStr">
        <is>
          <t>https://www.dold-mechatronik.de/DIN-912-Zylinderschraube-mit-Innensechskant,-Edelstahl-A2</t>
        </is>
      </c>
    </row>
    <row r="68">
      <c r="A68" s="3" t="inlineStr">
        <is>
          <t>DIN 912 (ISO 4762) Zylinderschraube M3x18, A2</t>
        </is>
      </c>
      <c r="B68" s="4" t="inlineStr">
        <is>
          <t>DOLD</t>
        </is>
      </c>
      <c r="C68" s="4" t="n">
        <v>36</v>
      </c>
      <c r="D68" s="6" t="n"/>
      <c r="E68" s="6">
        <f>IF(AND(ISNUMBER(C68),ISNUMBER(D68)),C68*D68,0)</f>
        <v/>
      </c>
      <c r="F68" s="4" t="n"/>
      <c r="G68" s="3" t="inlineStr">
        <is>
          <t>CAD 32 + Reserve 4; Stückpreis je Größe im Shop wählen</t>
        </is>
      </c>
      <c r="H68" s="4" t="inlineStr">
        <is>
          <t>https://www.dold-mechatronik.de/DIN-912-Zylinderschraube-mit-Innensechskant,-Edelstahl-A2</t>
        </is>
      </c>
    </row>
    <row r="69">
      <c r="A69" s="3" t="inlineStr">
        <is>
          <t>DIN 912 (ISO 4762) Zylinderschraube M3x20, A2</t>
        </is>
      </c>
      <c r="B69" s="4" t="inlineStr">
        <is>
          <t>DOLD</t>
        </is>
      </c>
      <c r="C69" s="4" t="n">
        <v>6</v>
      </c>
      <c r="D69" s="6" t="n"/>
      <c r="E69" s="6">
        <f>IF(AND(ISNUMBER(C69),ISNUMBER(D69)),C69*D69,0)</f>
        <v/>
      </c>
      <c r="F69" s="4" t="n"/>
      <c r="G69" s="3" t="inlineStr">
        <is>
          <t>CAD 4 + Reserve 2; Stückpreis je Größe im Shop wählen</t>
        </is>
      </c>
      <c r="H69" s="4" t="inlineStr">
        <is>
          <t>https://www.dold-mechatronik.de/DIN-912-Zylinderschraube-mit-Innensechskant,-Edelstahl-A2</t>
        </is>
      </c>
    </row>
    <row r="70">
      <c r="A70" s="3" t="inlineStr">
        <is>
          <t>DIN 912 (ISO 4762) Zylinderschraube M3x30, A2</t>
        </is>
      </c>
      <c r="B70" s="4" t="inlineStr">
        <is>
          <t>DOLD</t>
        </is>
      </c>
      <c r="C70" s="4" t="n">
        <v>10</v>
      </c>
      <c r="D70" s="6" t="n"/>
      <c r="E70" s="6">
        <f>IF(AND(ISNUMBER(C70),ISNUMBER(D70)),C70*D70,0)</f>
        <v/>
      </c>
      <c r="F70" s="4" t="n"/>
      <c r="G70" s="3" t="inlineStr">
        <is>
          <t>CAD 8 + Reserve 2; Stückpreis je Größe im Shop wählen</t>
        </is>
      </c>
      <c r="H70" s="4" t="inlineStr">
        <is>
          <t>https://www.dold-mechatronik.de/DIN-912-Zylinderschraube-mit-Innensechskant,-Edelstahl-A2</t>
        </is>
      </c>
    </row>
    <row r="71">
      <c r="A71" s="3" t="inlineStr">
        <is>
          <t>DIN 912 (ISO 4762) Zylinderschraube M4x10, A2</t>
        </is>
      </c>
      <c r="B71" s="4" t="inlineStr">
        <is>
          <t>DOLD</t>
        </is>
      </c>
      <c r="C71" s="4" t="n">
        <v>3</v>
      </c>
      <c r="D71" s="6" t="n"/>
      <c r="E71" s="6">
        <f>IF(AND(ISNUMBER(C71),ISNUMBER(D71)),C71*D71,0)</f>
        <v/>
      </c>
      <c r="F71" s="4" t="n"/>
      <c r="G71" s="3" t="inlineStr">
        <is>
          <t>CAD 1 + Reserve 2; Stückpreis je Größe im Shop wählen</t>
        </is>
      </c>
      <c r="H71" s="4" t="inlineStr">
        <is>
          <t>https://www.dold-mechatronik.de/DIN-912-Zylinderschraube-mit-Innensechskant,-Edelstahl-A2</t>
        </is>
      </c>
    </row>
    <row r="72">
      <c r="A72" s="3" t="inlineStr">
        <is>
          <t>DIN 912 (ISO 4762) Zylinderschraube M4x20, A2</t>
        </is>
      </c>
      <c r="B72" s="4" t="inlineStr">
        <is>
          <t>DOLD</t>
        </is>
      </c>
      <c r="C72" s="4" t="n">
        <v>14</v>
      </c>
      <c r="D72" s="6" t="n"/>
      <c r="E72" s="6">
        <f>IF(AND(ISNUMBER(C72),ISNUMBER(D72)),C72*D72,0)</f>
        <v/>
      </c>
      <c r="F72" s="4" t="n"/>
      <c r="G72" s="3" t="inlineStr">
        <is>
          <t>CAD 12 + Reserve 2; Stückpreis je Größe im Shop wählen</t>
        </is>
      </c>
      <c r="H72" s="4" t="inlineStr">
        <is>
          <t>https://www.dold-mechatronik.de/DIN-912-Zylinderschraube-mit-Innensechskant,-Edelstahl-A2</t>
        </is>
      </c>
    </row>
    <row r="73">
      <c r="A73" s="3" t="inlineStr">
        <is>
          <t>DIN 912 (ISO 4762) Zylinderschraube M4x30, A2</t>
        </is>
      </c>
      <c r="B73" s="4" t="inlineStr">
        <is>
          <t>DOLD</t>
        </is>
      </c>
      <c r="C73" s="4" t="n">
        <v>31</v>
      </c>
      <c r="D73" s="6" t="n"/>
      <c r="E73" s="6">
        <f>IF(AND(ISNUMBER(C73),ISNUMBER(D73)),C73*D73,0)</f>
        <v/>
      </c>
      <c r="F73" s="4" t="n"/>
      <c r="G73" s="3" t="inlineStr">
        <is>
          <t>CAD 28 + Reserve 3; Stückpreis je Größe im Shop wählen</t>
        </is>
      </c>
      <c r="H73" s="4" t="inlineStr">
        <is>
          <t>https://www.dold-mechatronik.de/DIN-912-Zylinderschraube-mit-Innensechskant,-Edelstahl-A2</t>
        </is>
      </c>
    </row>
    <row r="74">
      <c r="A74" s="3" t="inlineStr">
        <is>
          <t>DIN 912 (ISO 4762) Zylinderschraube M5x10, A2</t>
        </is>
      </c>
      <c r="B74" s="4" t="inlineStr">
        <is>
          <t>DOLD</t>
        </is>
      </c>
      <c r="C74" s="4" t="n">
        <v>36</v>
      </c>
      <c r="D74" s="6" t="n"/>
      <c r="E74" s="6">
        <f>IF(AND(ISNUMBER(C74),ISNUMBER(D74)),C74*D74,0)</f>
        <v/>
      </c>
      <c r="F74" s="4" t="n"/>
      <c r="G74" s="3" t="inlineStr">
        <is>
          <t>CAD 32 + Reserve 4; Stückpreis je Größe im Shop wählen</t>
        </is>
      </c>
      <c r="H74" s="4" t="inlineStr">
        <is>
          <t>https://www.dold-mechatronik.de/DIN-912-Zylinderschraube-mit-Innensechskant,-Edelstahl-A2</t>
        </is>
      </c>
    </row>
    <row r="75">
      <c r="A75" s="3" t="inlineStr">
        <is>
          <t>DIN 912 (ISO 4762) Zylinderschraube M5x14, 8.8 verzinkt</t>
        </is>
      </c>
      <c r="B75" s="4" t="inlineStr">
        <is>
          <t>DOLD</t>
        </is>
      </c>
      <c r="C75" s="4" t="n">
        <v>6</v>
      </c>
      <c r="D75" s="6" t="n"/>
      <c r="E75" s="6">
        <f>IF(AND(ISNUMBER(C75),ISNUMBER(D75)),C75*D75,0)</f>
        <v/>
      </c>
      <c r="F75" s="4" t="n"/>
      <c r="G75" s="3" t="inlineStr">
        <is>
          <t>CAD 4 + Reserve 2; Stückpreis je Größe im Shop wählen</t>
        </is>
      </c>
      <c r="H75" s="4" t="inlineStr">
        <is>
          <t>https://www.dold-mechatronik.de/DIN-912-Zylinderschraube-mit-Innensechskant-8.8-verzinkt</t>
        </is>
      </c>
    </row>
    <row r="76">
      <c r="A76" s="3" t="inlineStr">
        <is>
          <t>DIN 7991 (ISO 10642) Senkschraube M3x8, A2</t>
        </is>
      </c>
      <c r="B76" s="4" t="inlineStr">
        <is>
          <t>DOLD</t>
        </is>
      </c>
      <c r="C76" s="4" t="n">
        <v>36</v>
      </c>
      <c r="D76" s="6" t="n"/>
      <c r="E76" s="6">
        <f>IF(AND(ISNUMBER(C76),ISNUMBER(D76)),C76*D76,0)</f>
        <v/>
      </c>
      <c r="F76" s="4" t="n"/>
      <c r="G76" s="3" t="inlineStr">
        <is>
          <t>CAD 32 + Reserve 4; Stückpreis je Größe im Shop wählen</t>
        </is>
      </c>
      <c r="H76" s="4" t="inlineStr">
        <is>
          <t>https://www.dold-mechatronik.de/DIN-7991-Senkschraube-mit-Innensechskant,-Edelstahl-A2</t>
        </is>
      </c>
    </row>
    <row r="77">
      <c r="A77" s="3" t="inlineStr">
        <is>
          <t>DIN 7991 (ISO 10642) Senkschraube M6x12, A2</t>
        </is>
      </c>
      <c r="B77" s="4" t="inlineStr">
        <is>
          <t>DOLD</t>
        </is>
      </c>
      <c r="C77" s="4" t="n">
        <v>18</v>
      </c>
      <c r="D77" s="6" t="n"/>
      <c r="E77" s="6">
        <f>IF(AND(ISNUMBER(C77),ISNUMBER(D77)),C77*D77,0)</f>
        <v/>
      </c>
      <c r="F77" s="4" t="n"/>
      <c r="G77" s="3" t="inlineStr">
        <is>
          <t>CAD 16 + Reserve 2; Stückpreis je Größe im Shop wählen</t>
        </is>
      </c>
      <c r="H77" s="4" t="inlineStr">
        <is>
          <t>https://www.dold-mechatronik.de/DIN-7991-Senkschraube-mit-Innensechskant,-Edelstahl-A2</t>
        </is>
      </c>
    </row>
    <row r="78">
      <c r="A78" s="3" t="inlineStr">
        <is>
          <t>DIN 7991 (ISO 10642) Senkschraube M6x14, A2</t>
        </is>
      </c>
      <c r="B78" s="4" t="inlineStr">
        <is>
          <t>DOLD</t>
        </is>
      </c>
      <c r="C78" s="4" t="n">
        <v>8</v>
      </c>
      <c r="D78" s="6" t="n"/>
      <c r="E78" s="6">
        <f>IF(AND(ISNUMBER(C78),ISNUMBER(D78)),C78*D78,0)</f>
        <v/>
      </c>
      <c r="F78" s="4" t="n"/>
      <c r="G78" s="3" t="inlineStr">
        <is>
          <t>CAD 6 + Reserve 2; Stückpreis je Größe im Shop wählen</t>
        </is>
      </c>
      <c r="H78" s="4" t="inlineStr">
        <is>
          <t>https://www.dold-mechatronik.de/DIN-7991-Senkschraube-mit-Innensechskant,-Edelstahl-A2</t>
        </is>
      </c>
    </row>
    <row r="79">
      <c r="A79" s="3" t="inlineStr">
        <is>
          <t>DIN 7991 (ISO 10642) Senkschraube M6x20, A2</t>
        </is>
      </c>
      <c r="B79" s="4" t="inlineStr">
        <is>
          <t>DOLD</t>
        </is>
      </c>
      <c r="C79" s="4" t="n">
        <v>25</v>
      </c>
      <c r="D79" s="6" t="n"/>
      <c r="E79" s="6">
        <f>IF(AND(ISNUMBER(C79),ISNUMBER(D79)),C79*D79,0)</f>
        <v/>
      </c>
      <c r="F79" s="4" t="n"/>
      <c r="G79" s="3" t="inlineStr">
        <is>
          <t>CAD 22 + Reserve 3; Stückpreis je Größe im Shop wählen</t>
        </is>
      </c>
      <c r="H79" s="4" t="inlineStr">
        <is>
          <t>https://www.dold-mechatronik.de/DIN-7991-Senkschraube-mit-Innensechskant,-Edelstahl-A2</t>
        </is>
      </c>
    </row>
    <row r="80">
      <c r="A80" s="3" t="inlineStr">
        <is>
          <t>DIN 933 (ISO 4017) Sechskantschraube M4x20, A2</t>
        </is>
      </c>
      <c r="B80" s="4" t="inlineStr">
        <is>
          <t>DOLD</t>
        </is>
      </c>
      <c r="C80" s="4" t="n">
        <v>10</v>
      </c>
      <c r="D80" s="6" t="n"/>
      <c r="E80" s="6">
        <f>IF(AND(ISNUMBER(C80),ISNUMBER(D80)),C80*D80,0)</f>
        <v/>
      </c>
      <c r="F80" s="4" t="n"/>
      <c r="G80" s="3" t="inlineStr">
        <is>
          <t>CAD 8 + Reserve 2; Stückpreis je Größe im Shop wählen</t>
        </is>
      </c>
      <c r="H80" s="4" t="inlineStr">
        <is>
          <t>https://www.dold-mechatronik.de/DIN-933-A2-Edelstahl-Sechskantschraube-mit-Gewinde-bis-Kopf.-Ausfuehrung-waehlbar</t>
        </is>
      </c>
    </row>
    <row r="81">
      <c r="A81" s="3" t="inlineStr">
        <is>
          <t>DIN 934 (ISO 4032) Sechskantmutter M3, verzinkt</t>
        </is>
      </c>
      <c r="B81" s="4" t="inlineStr">
        <is>
          <t>DOLD</t>
        </is>
      </c>
      <c r="C81" s="4" t="n">
        <v>40</v>
      </c>
      <c r="D81" s="6" t="n">
        <v>0.14</v>
      </c>
      <c r="E81" s="6">
        <f>IF(AND(ISNUMBER(C81),ISNUMBER(D81)),C81*D81,0)</f>
        <v/>
      </c>
      <c r="F81" s="4" t="n"/>
      <c r="G81" s="3" t="inlineStr">
        <is>
          <t>CAD 36 + Reserve 4</t>
        </is>
      </c>
      <c r="H81" s="4" t="inlineStr">
        <is>
          <t>https://www.dold-mechatronik.de/DIN-934-Sechskantmutter-.8-verzinkt-M4x07</t>
        </is>
      </c>
    </row>
    <row r="82">
      <c r="A82" s="3" t="inlineStr">
        <is>
          <t>DIN 934 (ISO 4032) Sechskantmutter M4, verzinkt</t>
        </is>
      </c>
      <c r="B82" s="4" t="inlineStr">
        <is>
          <t>DOLD</t>
        </is>
      </c>
      <c r="C82" s="4" t="n">
        <v>53</v>
      </c>
      <c r="D82" s="6" t="n">
        <v>0.14</v>
      </c>
      <c r="E82" s="6">
        <f>IF(AND(ISNUMBER(C82),ISNUMBER(D82)),C82*D82,0)</f>
        <v/>
      </c>
      <c r="F82" s="4" t="n"/>
      <c r="G82" s="3" t="inlineStr">
        <is>
          <t>CAD 48 + Reserve 5</t>
        </is>
      </c>
      <c r="H82" s="4" t="inlineStr">
        <is>
          <t>https://www.dold-mechatronik.de/DIN-934-Sechskantmutter-.8-verzinkt-M4x07</t>
        </is>
      </c>
    </row>
    <row r="83">
      <c r="A83" s="3" t="inlineStr">
        <is>
          <t>DIN 934 (ISO 4032) Sechskantmutter M8, A2</t>
        </is>
      </c>
      <c r="B83" s="4" t="inlineStr">
        <is>
          <t>DOLD</t>
        </is>
      </c>
      <c r="C83" s="4" t="n">
        <v>53</v>
      </c>
      <c r="D83" s="6" t="n">
        <v>0.53</v>
      </c>
      <c r="E83" s="6">
        <f>IF(AND(ISNUMBER(C83),ISNUMBER(D83)),C83*D83,0)</f>
        <v/>
      </c>
      <c r="F83" s="4" t="n"/>
      <c r="G83" s="3" t="inlineStr">
        <is>
          <t>CAD 48 + Reserve 5</t>
        </is>
      </c>
      <c r="H83" s="4" t="inlineStr">
        <is>
          <t>https://www.dold-mechatronik.de/Sechskantmutter-DIN-934-ISO-4032-M8-Edelstahl-A2</t>
        </is>
      </c>
    </row>
    <row r="84">
      <c r="A84" s="3" t="inlineStr">
        <is>
          <t>DIN 466 Rändelmutter hoch M4</t>
        </is>
      </c>
      <c r="B84" s="4" t="inlineStr">
        <is>
          <t>DOLD</t>
        </is>
      </c>
      <c r="C84" s="4" t="n">
        <v>10</v>
      </c>
      <c r="D84" s="6" t="n"/>
      <c r="E84" s="6">
        <f>IF(AND(ISNUMBER(C84),ISNUMBER(D84)),C84*D84,0)</f>
        <v/>
      </c>
      <c r="F84" s="4" t="n"/>
      <c r="G84" s="3" t="inlineStr">
        <is>
          <t>CAD 8 + Reserve 2; Stückpreis je Größe im Shop wählen</t>
        </is>
      </c>
      <c r="H84" s="4" t="inlineStr">
        <is>
          <t>https://www.dold-mechatronik.de/Hohe-Raendelmutter-Material-und-Groesse-waehlbar-NEU</t>
        </is>
      </c>
    </row>
    <row r="85">
      <c r="A85" s="3" t="inlineStr">
        <is>
          <t>DIN 562 Vierkantmutter flach M3</t>
        </is>
      </c>
      <c r="B85" s="4" t="n"/>
      <c r="C85" s="4" t="n">
        <v>10</v>
      </c>
      <c r="D85" s="6" t="n"/>
      <c r="E85" s="6">
        <f>IF(AND(ISNUMBER(C85),ISNUMBER(D85)),C85*D85,0)</f>
        <v/>
      </c>
      <c r="F85" s="4" t="n"/>
      <c r="G85" s="3" t="inlineStr">
        <is>
          <t>CAD 8 + Reserve 2; bei DOLD nicht erhältlich (DIN 557 zu dick für die Druckteil-Taschen), extern beschaffen</t>
        </is>
      </c>
      <c r="H85" s="7" t="n"/>
    </row>
    <row r="86">
      <c r="A86" s="3" t="inlineStr">
        <is>
          <t>DIN 562 Vierkantmutter flach M4</t>
        </is>
      </c>
      <c r="B86" s="4" t="n"/>
      <c r="C86" s="4" t="n">
        <v>14</v>
      </c>
      <c r="D86" s="6" t="n"/>
      <c r="E86" s="6">
        <f>IF(AND(ISNUMBER(C86),ISNUMBER(D86)),C86*D86,0)</f>
        <v/>
      </c>
      <c r="F86" s="4" t="n"/>
      <c r="G86" s="3" t="inlineStr">
        <is>
          <t>CAD 12 + Reserve 2; bei DOLD nicht erhältlich (DIN 557 zu dick für die Druckteil-Taschen), extern beschaffen</t>
        </is>
      </c>
      <c r="H86" s="7" t="n"/>
    </row>
    <row r="87">
      <c r="A87" s="3" t="inlineStr">
        <is>
          <t>Nutenstein Nut6, M5</t>
        </is>
      </c>
      <c r="B87" s="4" t="inlineStr">
        <is>
          <t>DOLD</t>
        </is>
      </c>
      <c r="C87" s="4" t="n">
        <v>10</v>
      </c>
      <c r="D87" s="6" t="n">
        <v>0.39</v>
      </c>
      <c r="E87" s="6">
        <f>IF(AND(ISNUMBER(C87),ISNUMBER(D87)),C87*D87,0)</f>
        <v/>
      </c>
      <c r="F87" s="4" t="n"/>
      <c r="G87" s="3" t="inlineStr">
        <is>
          <t>(DOLD-Angebot Pos 6) Menge aus SCHUTZWERK-BOM, nicht im CAD gezeichnet.</t>
        </is>
      </c>
      <c r="H87" s="4" t="inlineStr">
        <is>
          <t>https://www.dold-mechatronik.de/Nutenstein-mit-Steg-I-Typ-Nut-6-Gewindedurchmesser-M5</t>
        </is>
      </c>
    </row>
    <row r="88">
      <c r="A88" s="3" t="inlineStr">
        <is>
          <t>Nutenstein Nut6, M3</t>
        </is>
      </c>
      <c r="B88" s="4" t="inlineStr">
        <is>
          <t>DOLD</t>
        </is>
      </c>
      <c r="C88" s="4" t="n">
        <v>46</v>
      </c>
      <c r="D88" s="6" t="n">
        <v>0.39</v>
      </c>
      <c r="E88" s="6">
        <f>IF(AND(ISNUMBER(C88),ISNUMBER(D88)),C88*D88,0)</f>
        <v/>
      </c>
      <c r="F88" s="4" t="n"/>
      <c r="G88" s="3" t="inlineStr">
        <is>
          <t>(DOLD-Angebot Pos 12) Menge aus SCHUTZWERK-BOM, nicht im CAD gezeichnet.</t>
        </is>
      </c>
      <c r="H88" s="4" t="inlineStr">
        <is>
          <t>https://www.dold-mechatronik.de/Nutenstein-mit-Steg-I-Typ-Nut-6-Gewindedurchmesser-M3</t>
        </is>
      </c>
    </row>
    <row r="89">
      <c r="A89" s="3" t="inlineStr">
        <is>
          <t>Unterlegscheiben M5</t>
        </is>
      </c>
      <c r="B89" s="4" t="inlineStr">
        <is>
          <t>DOLD</t>
        </is>
      </c>
      <c r="C89" s="4" t="n">
        <v>16</v>
      </c>
      <c r="D89" s="6" t="n">
        <v>0.15</v>
      </c>
      <c r="E89" s="6">
        <f>IF(AND(ISNUMBER(C89),ISNUMBER(D89)),C89*D89,0)</f>
        <v/>
      </c>
      <c r="F89" s="4" t="n"/>
      <c r="G89" s="3" t="inlineStr">
        <is>
          <t>(DOLD-Angebot Pos 27) 4 je Probe = 16 im Vollausbau. Menge aus SCHUTZWERK-BOM, nicht im CAD gezeichnet.</t>
        </is>
      </c>
      <c r="H89" s="4" t="inlineStr">
        <is>
          <t>https://www.dold-mechatronik.de/DIN-125-Form-A-Unterlegscheibe-Stahl-verzinkt-d53mm-D10mm</t>
        </is>
      </c>
    </row>
    <row r="90">
      <c r="A90" s="3" t="n"/>
      <c r="B90" s="4" t="n"/>
      <c r="C90" s="4" t="n"/>
      <c r="D90" s="4" t="n"/>
      <c r="E90" s="4" t="n"/>
      <c r="F90" s="4" t="n"/>
      <c r="G90" s="3" t="n"/>
      <c r="H90" s="4" t="n"/>
    </row>
    <row r="91">
      <c r="A91" s="3" t="n"/>
      <c r="B91" s="4" t="n"/>
      <c r="C91" s="4" t="n"/>
      <c r="D91" s="4" t="n"/>
      <c r="E91" s="4" t="n"/>
      <c r="F91" s="4" t="n"/>
      <c r="G91" s="3" t="n"/>
      <c r="H91" s="4" t="n"/>
    </row>
    <row r="92">
      <c r="A92" s="5" t="inlineStr">
        <is>
          <t>Einmalig (Gestell, zentrale Elektronik) inkl. MwSt.</t>
        </is>
      </c>
      <c r="B92" s="4" t="n"/>
      <c r="C92" s="4" t="n"/>
      <c r="D92" s="4" t="n"/>
      <c r="E92" s="8">
        <f>SUMIFS(E6:E60,F6:F60,"&lt;&gt;x")</f>
        <v/>
      </c>
      <c r="F92" s="4" t="n"/>
      <c r="G92" s="3" t="n"/>
      <c r="H92" s="4" t="n"/>
    </row>
    <row r="93">
      <c r="A93" s="5" t="inlineStr">
        <is>
          <t>je Probe inkl. MwSt.</t>
        </is>
      </c>
      <c r="B93" s="4" t="n"/>
      <c r="C93" s="4" t="n"/>
      <c r="D93" s="4" t="n"/>
      <c r="E93" s="8">
        <f>SUMIFS(E6:E60,F6:F60,"x")</f>
        <v/>
      </c>
      <c r="F93" s="4" t="n"/>
      <c r="G93" s="3" t="n"/>
      <c r="H93" s="4" t="n"/>
    </row>
    <row r="94">
      <c r="A94" s="5" t="inlineStr">
        <is>
          <t>Schrauben, Muttern &amp; Kleinteile (Vollausbau) inkl. MwSt.</t>
        </is>
      </c>
      <c r="B94" s="4" t="n"/>
      <c r="C94" s="4" t="n"/>
      <c r="D94" s="4" t="n"/>
      <c r="E94" s="8">
        <f>SUM(E63:E89)</f>
        <v/>
      </c>
      <c r="F94" s="4" t="n"/>
      <c r="G94" s="3" t="n"/>
      <c r="H94" s="4" t="n"/>
    </row>
    <row r="95">
      <c r="A95" s="3" t="n"/>
      <c r="B95" s="4" t="n"/>
      <c r="C95" s="4" t="n"/>
      <c r="D95" s="4" t="n"/>
      <c r="E95" s="4" t="n"/>
      <c r="F95" s="4" t="n"/>
      <c r="G95" s="3" t="n"/>
      <c r="H95" s="4" t="n"/>
    </row>
    <row r="96">
      <c r="A96" s="5" t="inlineStr">
        <is>
          <t>Prototyp = Einmalig + 1 × Probe + Schrauben inkl. MwSt.</t>
        </is>
      </c>
      <c r="B96" s="4" t="n"/>
      <c r="C96" s="4" t="n"/>
      <c r="D96" s="4" t="n"/>
      <c r="E96" s="8">
        <f>E92+E93+E94</f>
        <v/>
      </c>
      <c r="F96" s="4" t="n"/>
      <c r="G96" s="3" t="n"/>
      <c r="H96" s="4" t="n"/>
    </row>
    <row r="97">
      <c r="A97" s="5" t="inlineStr">
        <is>
          <t>Prototyp exkl. MwSt.</t>
        </is>
      </c>
      <c r="B97" s="4" t="n"/>
      <c r="C97" s="4" t="n"/>
      <c r="D97" s="4" t="n"/>
      <c r="E97" s="8">
        <f>E96/1.19</f>
        <v/>
      </c>
      <c r="F97" s="4" t="n"/>
      <c r="G97" s="3" t="n"/>
      <c r="H97" s="4" t="n"/>
    </row>
    <row r="98">
      <c r="A98" s="3" t="n"/>
      <c r="B98" s="4" t="n"/>
      <c r="C98" s="4" t="n"/>
      <c r="D98" s="4" t="n"/>
      <c r="E98" s="4" t="n"/>
      <c r="F98" s="4" t="n"/>
      <c r="G98" s="3" t="n"/>
      <c r="H98" s="4" t="n"/>
    </row>
    <row r="99">
      <c r="A99" s="5" t="inlineStr">
        <is>
          <t>Vollausbau = Einmalig + 4 × Probe + Schrauben inkl. MwSt.</t>
        </is>
      </c>
      <c r="B99" s="4" t="n"/>
      <c r="C99" s="4" t="n"/>
      <c r="D99" s="4" t="n"/>
      <c r="E99" s="8">
        <f>E92+4*E93+E94</f>
        <v/>
      </c>
      <c r="F99" s="4" t="n"/>
      <c r="G99" s="3" t="n"/>
      <c r="H99" s="4" t="n"/>
    </row>
    <row r="100">
      <c r="A100" s="5" t="inlineStr">
        <is>
          <t>Vollausbau exkl. MwSt.</t>
        </is>
      </c>
      <c r="B100" s="4" t="n"/>
      <c r="C100" s="4" t="n"/>
      <c r="D100" s="4" t="n"/>
      <c r="E100" s="8">
        <f>E99/1.19</f>
        <v/>
      </c>
      <c r="F100" s="4" t="n"/>
      <c r="G100" s="3" t="n"/>
      <c r="H100" s="4" t="n"/>
    </row>
    <row r="101">
      <c r="A101" s="3" t="n"/>
      <c r="B101" s="4" t="n"/>
      <c r="C101" s="4" t="n"/>
      <c r="D101" s="4" t="n"/>
      <c r="E101" s="4" t="n"/>
      <c r="F101" s="4" t="n"/>
      <c r="G101" s="3" t="n"/>
      <c r="H101" s="4" t="n"/>
    </row>
    <row r="102">
      <c r="A102" s="3" t="inlineStr">
        <is>
          <t>Orange = Menge oder Link fehlt noch.</t>
        </is>
      </c>
      <c r="B102" s="4" t="n"/>
      <c r="C102" s="4" t="n"/>
      <c r="D102" s="4" t="n"/>
      <c r="E102" s="4" t="n"/>
      <c r="F102" s="4" t="n"/>
      <c r="G102" s="3" t="n"/>
      <c r="H10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2026-10-27T14:09:38Z</dcterms:created>
  <dcterms:modified xsi:type="dcterms:W3CDTF">2026-10-27T14:09:38Z</dcterms:modified>
</cp:coreProperties>
</file>