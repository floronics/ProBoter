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k\Downloads\"/>
    </mc:Choice>
  </mc:AlternateContent>
  <xr:revisionPtr revIDLastSave="0" documentId="8_{66665AF8-EBC3-417E-9A57-1E985FFBA694}" xr6:coauthVersionLast="47" xr6:coauthVersionMax="47" xr10:uidLastSave="{00000000-0000-0000-0000-000000000000}"/>
  <bookViews>
    <workbookView xWindow="2250" yWindow="1815" windowWidth="16410" windowHeight="17745" xr2:uid="{857D6B24-C2E5-4EAD-A504-6E3B465FE66C}"/>
  </bookViews>
  <sheets>
    <sheet name="BOM" sheetId="1" r:id="rId1"/>
    <sheet name="BOM_2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2" l="1"/>
  <c r="D49" i="2"/>
  <c r="D30" i="2"/>
  <c r="D22" i="2"/>
  <c r="D21" i="2"/>
  <c r="D20" i="2"/>
  <c r="D19" i="2"/>
  <c r="D18" i="2"/>
  <c r="D15" i="2"/>
  <c r="D14" i="2"/>
  <c r="D13" i="2"/>
  <c r="D12" i="2"/>
  <c r="D11" i="2"/>
  <c r="D10" i="2"/>
  <c r="D9" i="2"/>
  <c r="D8" i="2"/>
  <c r="D7" i="2"/>
  <c r="E94" i="1"/>
  <c r="E95" i="1" s="1"/>
  <c r="E87" i="1"/>
  <c r="E86" i="1"/>
  <c r="E85" i="1"/>
  <c r="E81" i="1"/>
  <c r="E78" i="1"/>
  <c r="E76" i="1"/>
  <c r="E75" i="1"/>
  <c r="E73" i="1"/>
  <c r="E72" i="1"/>
  <c r="E71" i="1"/>
  <c r="E70" i="1"/>
  <c r="D69" i="1"/>
  <c r="E69" i="1" s="1"/>
  <c r="D67" i="1"/>
  <c r="E67" i="1" s="1"/>
  <c r="E66" i="1"/>
  <c r="E65" i="1"/>
  <c r="E63" i="1"/>
  <c r="E62" i="1"/>
  <c r="E59" i="1"/>
  <c r="E57" i="1"/>
  <c r="E56" i="1"/>
  <c r="E55" i="1"/>
  <c r="E53" i="1"/>
  <c r="E51" i="1"/>
  <c r="E50" i="1"/>
  <c r="E49" i="1"/>
  <c r="D48" i="1"/>
  <c r="E48" i="1" s="1"/>
  <c r="E46" i="1"/>
  <c r="E45" i="1"/>
  <c r="E44" i="1"/>
  <c r="E42" i="1"/>
  <c r="E41" i="1"/>
  <c r="E39" i="1"/>
  <c r="E38" i="1"/>
  <c r="E37" i="1"/>
  <c r="D37" i="1"/>
  <c r="E34" i="1"/>
  <c r="E30" i="1"/>
  <c r="E28" i="1"/>
  <c r="D27" i="1"/>
  <c r="E27" i="1" s="1"/>
  <c r="E24" i="1"/>
  <c r="E23" i="1"/>
  <c r="E22" i="1"/>
  <c r="E20" i="1"/>
  <c r="E19" i="1"/>
  <c r="E18" i="1"/>
  <c r="E17" i="1"/>
  <c r="E16" i="1"/>
  <c r="E15" i="1"/>
  <c r="E14" i="1"/>
  <c r="E12" i="1"/>
  <c r="E11" i="1"/>
  <c r="E10" i="1"/>
  <c r="E8" i="1"/>
  <c r="E7" i="1"/>
  <c r="E6" i="1"/>
  <c r="E100" i="1" l="1"/>
  <c r="E97" i="1"/>
  <c r="E98" i="1" s="1"/>
  <c r="E101" i="1" l="1"/>
  <c r="E103" i="1"/>
  <c r="E104" i="1" s="1"/>
</calcChain>
</file>

<file path=xl/sharedStrings.xml><?xml version="1.0" encoding="utf-8"?>
<sst xmlns="http://schemas.openxmlformats.org/spreadsheetml/2006/main" count="307" uniqueCount="162">
  <si>
    <t>BOM PCB-Probe V1.0</t>
  </si>
  <si>
    <t>Teil</t>
  </si>
  <si>
    <t>Menge</t>
  </si>
  <si>
    <t>Preis inkl. Mwst. In €</t>
  </si>
  <si>
    <t>Gesamtpreis inkl. Mwst. In €</t>
  </si>
  <si>
    <t>je Probe</t>
  </si>
  <si>
    <t>Anmerkung</t>
  </si>
  <si>
    <t>Link</t>
  </si>
  <si>
    <t>Gestell</t>
  </si>
  <si>
    <t>Gelenkfuß M6x20, Teller 40mm mit Ant-Slip-Platte</t>
  </si>
  <si>
    <t>x</t>
  </si>
  <si>
    <t>https://www.dold-mechatronik.de/Gelenkfuss-Reihe-10-PA-Gewindestange-mit-Kugel-10mm-M6x20-Schluesselweite-10-Teller-40mm-mit-Anti-Slip-Platte-40-d385</t>
  </si>
  <si>
    <t>Winkel 30 I-Typ inkl. Befestigungssatz</t>
  </si>
  <si>
    <t>https://www.dold-mechatronik.de/Winkel-30-I-Typ-Nut-6-inkl-Befestigungssatz-und-Abdeckkappe</t>
  </si>
  <si>
    <t>Bügelgriff 100mm mit Befestigungsbohrungen</t>
  </si>
  <si>
    <t>https://www.dold-mechatronik.de/Buegelgriff-100mm-mit-Befestigungsbohrungen</t>
  </si>
  <si>
    <t>Zylinderschraube DIN912, M6x20</t>
  </si>
  <si>
    <t>https://www.dold-mechatronik.de/DIN-912-Zylinderschraube-mit-Innensechskant-88-verzinkt-M6x20</t>
  </si>
  <si>
    <t>Teleskopauszug TS-A 514613-350mm mit Arretierung</t>
  </si>
  <si>
    <t>https://www.teleskopschienen24.de/vollauszug-tsaa-514613-350mm</t>
  </si>
  <si>
    <t>Senkschraube mit Innensechskant M5x16</t>
  </si>
  <si>
    <t>https://www.dold-mechatronik.de/DIN-7991-Senkschraube-mit-Innensechskant-88-verzinkt-M5x16</t>
  </si>
  <si>
    <t>Nutenstein Nut6, M5</t>
  </si>
  <si>
    <t>https://www.dold-mechatronik.de/Nutenstein-mit-Steg-I-Typ-Nut-6-Gewindedurchmesser-M5</t>
  </si>
  <si>
    <t>Aluprofil I-Typ 30x60x650</t>
  </si>
  <si>
    <t>Balken für X-Führung</t>
  </si>
  <si>
    <t>https://www.dold-mechatronik.de/Aluminiumprofil-30x60L-I-Typ-Nut-6-ZUSCHNITT-bis-1200-mm-1700-EUR-m-030-EUR-pro-Schnitt</t>
  </si>
  <si>
    <t>Aluprofil I-Typ 30x30x350</t>
  </si>
  <si>
    <t>4 x Senkrechte Streben + 4 x kurze Querstreben + 2 x Schublade quer</t>
  </si>
  <si>
    <t>https://www.dold-mechatronik.de/Aluminiumprofil-30x30L-I-Typ-Nut-6-ZUSCHNITT-bis-1200-mm-850-EUR-m-025-EUR-pro-Schnitt</t>
  </si>
  <si>
    <t>Aluprofil I-Typ 30x30x590</t>
  </si>
  <si>
    <t>Längsstreben horizontal</t>
  </si>
  <si>
    <t>Aluprofil I-Typ 30x30x564</t>
  </si>
  <si>
    <t>Schublade längs</t>
  </si>
  <si>
    <t>Schubladenplatte</t>
  </si>
  <si>
    <t>Motorplatte, Stahl gelasert, 5mm</t>
  </si>
  <si>
    <t>Profilschienenführung, MR12, 600mm, Edelstahl</t>
  </si>
  <si>
    <t>https://www.motedis.com/shop/Dynamik-Lineareinheiten/Profilschienenfuehrungen-fuer-die-Linearbewegung/Profilschienenfuehrungen/Profilschienenfuehrung-Miniatur-MR12M-N-L-%3D-600mm::6111.html</t>
  </si>
  <si>
    <t>Nutenstein Nut6, M3</t>
  </si>
  <si>
    <t>https://www.dold-mechatronik.de/Nutenstein-mit-Steg-I-Typ-Nut-6-Gewindedurchmesser-M3</t>
  </si>
  <si>
    <t>Zylinderschraube DIN912, M3x10</t>
  </si>
  <si>
    <t>https://www.dold-mechatronik.de/DIN-912-Zylinderschraube-mit-Innensechskant-88-verzinkt-M3x10</t>
  </si>
  <si>
    <t>X-Antrieb</t>
  </si>
  <si>
    <t>Schrittmotor Nanotec NEMA 14 - ST3518M1004-A</t>
  </si>
  <si>
    <t>https://de.nanotec.com/produkte/446-st3518m1004-a/</t>
  </si>
  <si>
    <t>Zylinderschraube DIN912, M3x12</t>
  </si>
  <si>
    <t>https://www.dold-mechatronik.de/DIN-912-Zylinderschraube-mit-Innensechskant-88-verzinkt-M3x12</t>
  </si>
  <si>
    <t>Spielfreie Wendelkupplung, D5/D6, Klemmnabenausführung</t>
  </si>
  <si>
    <t>https://www.dold-mechatronik.de/Spielfreie-Wendelkupplung-Klemmnabenausfuehrung-JT16C-D16L23-500-600mm</t>
  </si>
  <si>
    <t>Endschalter induktiv M12 x 1</t>
  </si>
  <si>
    <t>https://www.amazon.de/Heschen-Induktiver-N%C3%A4herungsschalter-LJ12-A3-4-Z-normalerweise/dp/B071ZQ6VV6/</t>
  </si>
  <si>
    <t>X-Schlitten inkl. Y-Antrieb / Führung</t>
  </si>
  <si>
    <t>Trapezgewindemutter drylin, Anti-Backlash, JSRM TR10x2</t>
  </si>
  <si>
    <t>https://www.igus.de/product/847</t>
  </si>
  <si>
    <t>Lagerbock TR10x2, Aluminium</t>
  </si>
  <si>
    <t>https://www.dold-mechatronik.de/Aluminumgehaeuse-SCE12SFX</t>
  </si>
  <si>
    <t>Zylinderschraube DIN912, M5x25</t>
  </si>
  <si>
    <t>https://www.dold-mechatronik.de/DIN-912-Zylinderschraube-mit-Innensechskant-88-verzinkt-M5x25</t>
  </si>
  <si>
    <t>Linearwagen MR12 MN-SS-V0-N</t>
  </si>
  <si>
    <t>https://www.motedis.com/shop/Dynamik-Lineareinheiten/Profilschienenfuehrungen-fuer-die-Linearbewegung/Profilschienenfuehrungen/Fuehrungswagen-Miniatur-MR12MN-SS-V0-N::6097.html</t>
  </si>
  <si>
    <t>Aluprofil 40x16S I-Typ, 436mm</t>
  </si>
  <si>
    <t>https://www.dold-mechatronik.de/Aluminiumprofil-40x16S-I-Typ-Nut-8-ZUSCHNITT-bis-1200-mm-1050-EUR-m-025-EUR-pro-Schnitt</t>
  </si>
  <si>
    <t>Seitenplatten, Stahl, gelasert, 5mm</t>
  </si>
  <si>
    <t>Rillenkugellager 626 2RS 6x19x6</t>
  </si>
  <si>
    <t>https://www.dold-mechatronik.de/Rillenkugellager-626-2RS-6x19x6mm</t>
  </si>
  <si>
    <t>Sicherungsring Welle DIN 471, D6</t>
  </si>
  <si>
    <t>?</t>
  </si>
  <si>
    <t>Trapezgewindespindel TR10x2, 400mm mit Endenbearbeitung</t>
  </si>
  <si>
    <t>Präzisionswelle D10, 450mm mit M6 Gewinde</t>
  </si>
  <si>
    <t>https://www.dold-mechatronik.de/Praezisionswelle-10mm-h6-geschliffen-gehaertet-450mm-mit-Gewindebohrungen-M5x20</t>
  </si>
  <si>
    <t>Unterlegscheiben M5</t>
  </si>
  <si>
    <t>https://www.dold-mechatronik.de/DIN-125-Form-A-Unterlegscheibe-Stahl-verzinkt-d53mm-D10mm</t>
  </si>
  <si>
    <t>Zylinderschraube M5x20</t>
  </si>
  <si>
    <t>https://www.dold-mechatronik.de/DIN-912-Zylinderschraube-mit-Innensechskant-88-verzinkt-M5x20</t>
  </si>
  <si>
    <t>Y-Schlitten mit Z-Antrieb / -Führung</t>
  </si>
  <si>
    <t>Zylinderschraube DIN7984, M4x20</t>
  </si>
  <si>
    <t>https://www.dold-mechatronik.de/DIN-912-Zylinderschraube-mit-Innensechskant-88-verzinkt-M4x20</t>
  </si>
  <si>
    <t>Din 934 Sechskantmutter, M4</t>
  </si>
  <si>
    <t>https://www.dold-mechatronik.de/DIN-934-Sechskantmutter-8-verzinkt-M4x07</t>
  </si>
  <si>
    <t>Vollkunststoffgleitlager RJMP DryLin igus, D10</t>
  </si>
  <si>
    <t>https://www.dold-mechatronik.de/Vollkunststofflager-RJMP-01-10-DryLinZ-von-igusZ</t>
  </si>
  <si>
    <t>Sicherungsring Bohrung DIN 472, D22</t>
  </si>
  <si>
    <t>https://www.dold-mechatronik.de/DIN-472-Form-I-Sicherungsring-fuer-Bohrungen-Stahl-blank-I22</t>
  </si>
  <si>
    <t>Zahnriemenrad GT2 6mm, 16 Zähne</t>
  </si>
  <si>
    <t>https://www.dold-mechatronik.de/Zahnriemenrad-GT2-6mm-breit-16-Zaehne-Bohrung-500mm-H7-mit-Klemmschrauben</t>
  </si>
  <si>
    <t>Umlenkrolle GT2 6mm, 16 Zähne</t>
  </si>
  <si>
    <t>https://www.dold-mechatronik.de/Umlenkrolle-Zahnriemenrad-mit-Kugellager-GT2-6mm-breit-16-Zaehne-Bohrung-300mm</t>
  </si>
  <si>
    <t>Zahnriemen GT2, 6mm, 1m</t>
  </si>
  <si>
    <t>Zylinderschraube DIN7984, M3x10</t>
  </si>
  <si>
    <t>https://www.dold-mechatronik.de/DIN-7984-Zylinderschraube-mit-Innensechskant-und-niedrigem-Kopf-88-verzinkt</t>
  </si>
  <si>
    <t>6 Stück optische Endstops mit Kabel</t>
  </si>
  <si>
    <t>https://www.amazon.de/gp/product/B07PX8ZFXN/ref=ox_sc_act_title_2?smid=AS8JK4HNTE2NO&amp;psc=1</t>
  </si>
  <si>
    <t>Z-Schlitten</t>
  </si>
  <si>
    <t>Profilschienenführung, MR12, 150mm, Edelstahl</t>
  </si>
  <si>
    <t>https://www.dold-mechatronik.de/Linearfuehrung-MR-12-M-Edelstahl-150mm</t>
  </si>
  <si>
    <t>Probespitze</t>
  </si>
  <si>
    <t>Elektronik</t>
  </si>
  <si>
    <t>Smoothieboard ohne Stepper Treiber</t>
  </si>
  <si>
    <t>https://www.amazon.de/gp/product/B07P73VWHK/</t>
  </si>
  <si>
    <t>4 x TMC2130 V2.0 Motortreiber</t>
  </si>
  <si>
    <t>https://www.amazon.de/PoPprint-SPI-Motortreiber-K%C3%BChlk%C3%B6rper-Verwendung-Goldablagerungstechnologie/dp/B07Q9JKK23/</t>
  </si>
  <si>
    <t>Schaltnetzteil 24V, 8,4A, 200W</t>
  </si>
  <si>
    <t>https://www.amazon.de/Kingled-Netzteil-Switching-wasserdicht-kompatibel/dp/B01JOTURAK/</t>
  </si>
  <si>
    <t>Schukokabel</t>
  </si>
  <si>
    <t>Kabel Probe</t>
  </si>
  <si>
    <t>Gehäuse für Elektronik</t>
  </si>
  <si>
    <t>Energieketten</t>
  </si>
  <si>
    <t>Kabel für Endschalter</t>
  </si>
  <si>
    <t>Motorkabel</t>
  </si>
  <si>
    <t>Rahmen / Gestell (einmalig) inkl. Mwst.</t>
  </si>
  <si>
    <t>Rahmen / Gestell (einmalig) exkl. Mwst.</t>
  </si>
  <si>
    <t>je weitere Probe inkl. Mwst.</t>
  </si>
  <si>
    <t>je weitere Probe exkl. Mwst.</t>
  </si>
  <si>
    <t>Prototyp = Rahmen mit 1 x Probe inkl. Mwst.</t>
  </si>
  <si>
    <t>Prototyp = Rahmen mit 1 x Probe exkl. Mwst.</t>
  </si>
  <si>
    <t>Vollausbau = Rahmen + 4 x Probe inkl. Mwst.</t>
  </si>
  <si>
    <t>Vollausbau = Rahmen + 4 x Probe exkl. Mwst.</t>
  </si>
  <si>
    <t>Farbcode Hersteller</t>
  </si>
  <si>
    <t>DOLD Mechatronik: https://www.dold-mechatronik.de</t>
  </si>
  <si>
    <t>Nanotec: https://de.nanotec.com</t>
  </si>
  <si>
    <t>igus: https://www.igus.de</t>
  </si>
  <si>
    <t>Teleskopschienen24: https://www.teleskopschienen24.de/</t>
  </si>
  <si>
    <t>Motedis: https://www.motedis.com/</t>
  </si>
  <si>
    <t>Amazon: https://www.amazon.de</t>
  </si>
  <si>
    <t>Laserteile4you: https://www.laserteile4you.de/home.html</t>
  </si>
  <si>
    <t>BOM Probe Upgrade</t>
  </si>
  <si>
    <t>Schrittmotor Nanotec NEMA 17 5St</t>
  </si>
  <si>
    <t>https://www.amazon.de/Schrittmotor-56-2oz-2-Phasen-4-Draht-Drucker/dp/B06Y4NYJWN/</t>
  </si>
  <si>
    <t>Ritzel 6St</t>
  </si>
  <si>
    <t>https://www.amazon.de/dp/B07SX1N19C/</t>
  </si>
  <si>
    <t>Umlenkrollen 5St</t>
  </si>
  <si>
    <t>https://www.amazon.de/Redrex-Bohrung-Zahnriemen-Spannrolle-3D-Drucker/dp/B01LO0IGZU/</t>
  </si>
  <si>
    <t>Endschalter induktiv M8</t>
  </si>
  <si>
    <t>https://www.amazon.de/Induktive-Näherungsschalter-LJ8-A3-2-z-BX-Normalerweise/dp/B072Q68493/</t>
  </si>
  <si>
    <t>Zahnriemen GT2, 6mm, 5m</t>
  </si>
  <si>
    <t>https://www.amazon.de/OZUAR-Zahnriemen-3D-Drucker-Breite-Abstand/dp/B07D4GCYXW/</t>
  </si>
  <si>
    <t>Schrittmotor NEMA 14</t>
  </si>
  <si>
    <t>https://www.amazon.de/STEPPERONLINE-Schrittmotor-Pinter-Makerbot-Reprap/dp/B077XSG86T/</t>
  </si>
  <si>
    <t>Zylinderschraube DIN912, M3x8</t>
  </si>
  <si>
    <t>32st benötigt → 50er pack</t>
  </si>
  <si>
    <t>https://www.amazon.de/Zylinderschrauben-mit-Innensechskant-Vollgewinde-Zylinderkopfschrauben/dp/B01IMGYPJU/</t>
  </si>
  <si>
    <t>Zylinderschraube DIN7991, M3x8</t>
  </si>
  <si>
    <t>https://www.amazon.de/Senkkopfschrauben-Edelstahl-Senkschrauben-Innensechskant-Vollgewinde/dp/B06WVJJFX1/</t>
  </si>
  <si>
    <t>USB Hub</t>
  </si>
  <si>
    <t>https://www.amazon.de/Anker-Datenhub-Ultrabooks-weiteren-kompatiblen/dp/B00Y211AFM/</t>
  </si>
  <si>
    <t>Wellenhalter Flansch SHF10</t>
  </si>
  <si>
    <t>https://www.dold-mechatronik.de/Wellenhalter-Flansch-SHF10</t>
  </si>
  <si>
    <t>Welle 10mm x 450</t>
  </si>
  <si>
    <t>https://www.dold-mechatronik.de/Praezisionswelle-10mm-h6-Edelstahl-X46CR13-Linearwellen-geschlifen-und-gehaertet-ZUSCHNITT-bis-1200mm-16-EUR-m-030-EUR-pro-Schnitt</t>
  </si>
  <si>
    <t>Aluprofil 40x16E I-Typ, 436mm</t>
  </si>
  <si>
    <t>https://www.dold-mechatronik.de/Aluminiumprofil-40x16E-I-Typ-Nut-8-ZUSCHNITT-bis-1200-mm-600-EUR-m-025-EUR-pro-Schnitt</t>
  </si>
  <si>
    <t>Zylinderschraube DIN912, M5x10</t>
  </si>
  <si>
    <t>https://www.dold-mechatronik.de/DIN-912-Zylinderschraube-mit-Innensechskant-88-verzinkt-M5x10</t>
  </si>
  <si>
    <t>Zylinderschraube DIN7991, M6x12</t>
  </si>
  <si>
    <t>https://www.dold-mechatronik.de/DIN-7991-Senkschraube-mit-Innensechskant-88-verzinkt-M6x12</t>
  </si>
  <si>
    <t>Teller 40, für Gelenkstellfuß Kugel 10mm, Kunststoff</t>
  </si>
  <si>
    <t>https://www.dold-mechatronik.de/Teller-40-fuer-Gelenkstellfuss-Kugel-10mm-Kunststoff</t>
  </si>
  <si>
    <t>Zylinderschraube DIN912, M3x20</t>
  </si>
  <si>
    <t>Zylinderschraube DIN912, M3x16</t>
  </si>
  <si>
    <t>Zylinderschraube DIN912, M4x20</t>
  </si>
  <si>
    <t>Zylinderschraube DIN912, M4x30</t>
  </si>
  <si>
    <t>Summe: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</si>
</sst>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theme="1"/>
      <name val="Liberation Sans"/>
    </font>
    <font>
      <sz val="10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14"/>
      <color theme="1"/>
      <name val="Liberation Sans"/>
    </font>
    <font>
      <b/>
      <sz val="10"/>
      <color theme="1"/>
      <name val="Liberation Sans"/>
    </font>
    <font>
      <b/>
      <sz val="12"/>
      <color theme="1"/>
      <name val="Liberation Sans"/>
    </font>
    <font>
      <sz val="10"/>
      <color theme="1"/>
      <name val="Liberation Serif"/>
    </font>
    <font>
      <b/>
      <sz val="10"/>
      <color theme="1"/>
      <name val="Liberation Serif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D4EA6B"/>
        <bgColor rgb="FFD4EA6B"/>
      </patternFill>
    </fill>
    <fill>
      <patternFill patternType="solid">
        <fgColor rgb="FFB4C7DC"/>
        <bgColor rgb="FFB4C7DC"/>
      </patternFill>
    </fill>
    <fill>
      <patternFill patternType="solid">
        <fgColor rgb="FFFCD3C1"/>
        <bgColor rgb="FFFCD3C1"/>
      </patternFill>
    </fill>
    <fill>
      <patternFill patternType="solid">
        <fgColor rgb="FF069A2E"/>
        <bgColor rgb="FF069A2E"/>
      </patternFill>
    </fill>
    <fill>
      <patternFill patternType="solid">
        <fgColor rgb="FFFF5429"/>
        <bgColor rgb="FFFF5429"/>
      </patternFill>
    </fill>
    <fill>
      <patternFill patternType="solid">
        <fgColor rgb="FF999999"/>
        <bgColor rgb="FF999999"/>
      </patternFill>
    </fill>
    <fill>
      <patternFill patternType="solid">
        <fgColor rgb="FFA1467E"/>
        <bgColor rgb="FFA1467E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</borders>
  <cellStyleXfs count="20">
    <xf numFmtId="0" fontId="0" fillId="0" borderId="0"/>
    <xf numFmtId="0" fontId="12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45">
    <xf numFmtId="0" fontId="0" fillId="0" borderId="0" xfId="0"/>
    <xf numFmtId="0" fontId="15" fillId="0" borderId="0" xfId="0" applyFont="1"/>
    <xf numFmtId="0" fontId="15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7" fillId="0" borderId="0" xfId="0" applyFont="1"/>
    <xf numFmtId="0" fontId="17" fillId="0" borderId="0" xfId="0" applyFont="1" applyFill="1" applyAlignment="1">
      <alignment horizontal="center"/>
    </xf>
    <xf numFmtId="0" fontId="0" fillId="9" borderId="0" xfId="0" applyFill="1"/>
    <xf numFmtId="0" fontId="0" fillId="0" borderId="0" xfId="0" applyFont="1" applyAlignment="1">
      <alignment horizontal="center"/>
    </xf>
    <xf numFmtId="0" fontId="0" fillId="10" borderId="0" xfId="0" applyFill="1"/>
    <xf numFmtId="0" fontId="18" fillId="0" borderId="0" xfId="0" applyFont="1" applyAlignment="1">
      <alignment horizontal="center" wrapText="1"/>
    </xf>
    <xf numFmtId="0" fontId="0" fillId="11" borderId="0" xfId="0" applyFill="1"/>
    <xf numFmtId="0" fontId="0" fillId="12" borderId="0" xfId="0" applyFill="1"/>
    <xf numFmtId="0" fontId="0" fillId="13" borderId="0" xfId="0" applyFill="1"/>
    <xf numFmtId="4" fontId="0" fillId="0" borderId="0" xfId="0" applyNumberFormat="1" applyFont="1" applyAlignment="1">
      <alignment horizontal="center"/>
    </xf>
    <xf numFmtId="0" fontId="0" fillId="14" borderId="0" xfId="0" applyFill="1"/>
    <xf numFmtId="0" fontId="0" fillId="15" borderId="0" xfId="0" applyFill="1"/>
    <xf numFmtId="0" fontId="0" fillId="14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0" fillId="0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6" fillId="0" borderId="0" xfId="0" applyFont="1" applyBorder="1"/>
    <xf numFmtId="0" fontId="16" fillId="0" borderId="0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4" fontId="16" fillId="0" borderId="0" xfId="0" applyNumberFormat="1" applyFont="1" applyBorder="1" applyAlignment="1">
      <alignment horizontal="center"/>
    </xf>
    <xf numFmtId="4" fontId="16" fillId="0" borderId="0" xfId="0" applyNumberFormat="1" applyFont="1" applyAlignment="1">
      <alignment horizontal="center"/>
    </xf>
    <xf numFmtId="0" fontId="19" fillId="0" borderId="0" xfId="0" applyFont="1" applyAlignment="1">
      <alignment horizontal="center" wrapText="1"/>
    </xf>
    <xf numFmtId="0" fontId="0" fillId="0" borderId="0" xfId="0" applyFont="1"/>
    <xf numFmtId="0" fontId="0" fillId="0" borderId="0" xfId="0" applyFill="1"/>
    <xf numFmtId="0" fontId="0" fillId="0" borderId="0" xfId="0" applyFill="1" applyBorder="1"/>
    <xf numFmtId="4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 wrapText="1"/>
    </xf>
    <xf numFmtId="0" fontId="0" fillId="0" borderId="0" xfId="0" applyFont="1" applyFill="1"/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3" borderId="0" xfId="0" applyFill="1" applyBorder="1"/>
  </cellXfs>
  <cellStyles count="20">
    <cellStyle name="Accent" xfId="2" xr:uid="{7EDFF8CC-2190-4E83-8EFD-B0899646C848}"/>
    <cellStyle name="Accent 1" xfId="3" xr:uid="{4DFC4C8D-555E-4B9E-A811-E59C49CBCB4B}"/>
    <cellStyle name="Accent 2" xfId="4" xr:uid="{DCED9854-22DA-4110-9DD7-9C2192D661A6}"/>
    <cellStyle name="Accent 3" xfId="5" xr:uid="{9AE4BE1C-81AF-4524-86A5-5C676CE42BE3}"/>
    <cellStyle name="Bad" xfId="6" xr:uid="{8043E6D1-01C5-43E7-A2FB-56DF2FCC67D4}"/>
    <cellStyle name="Default" xfId="7" xr:uid="{2DB0F8D8-4729-478C-B2EC-4146802F49BE}"/>
    <cellStyle name="Error" xfId="8" xr:uid="{3CDBA369-1A3C-4C64-84CD-345751DA244B}"/>
    <cellStyle name="Footnote" xfId="9" xr:uid="{4CCB8996-7CD0-4A21-8A98-B35231410A6E}"/>
    <cellStyle name="Good" xfId="10" xr:uid="{AC0588D4-66FC-4D36-A1E4-7EB0E22C6D10}"/>
    <cellStyle name="Heading" xfId="11" xr:uid="{EAB9A5A2-C0B3-4BF7-8440-3C3A4BE4BA91}"/>
    <cellStyle name="Heading 1" xfId="12" xr:uid="{BA61C97C-F980-4E2D-93CC-62CADA29B348}"/>
    <cellStyle name="Heading 2" xfId="13" xr:uid="{F0C2CDEF-4893-4065-B241-386F8418D0B6}"/>
    <cellStyle name="Hyperlink" xfId="14" xr:uid="{FB16DB47-DAE7-4144-B317-D065DB5EBE0D}"/>
    <cellStyle name="Neutral" xfId="1" builtinId="28" customBuiltin="1"/>
    <cellStyle name="Note" xfId="15" xr:uid="{27F6DE9C-B377-41A4-858F-03D9E8518CC8}"/>
    <cellStyle name="Result" xfId="16" xr:uid="{A34F757C-56C5-4B00-A14B-7461C17BE391}"/>
    <cellStyle name="Standard" xfId="0" builtinId="0" customBuiltin="1"/>
    <cellStyle name="Status" xfId="17" xr:uid="{8EA053AF-950F-4F78-BF2A-0CF1E8486720}"/>
    <cellStyle name="Text" xfId="18" xr:uid="{170A80CF-5734-4E14-A125-F78B77711631}"/>
    <cellStyle name="Warning" xfId="19" xr:uid="{8EA3F7E4-C798-44A4-9430-821FBF8B28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CE99-BC93-41D3-9995-9DC5410512C2}">
  <dimension ref="A1:BL114"/>
  <sheetViews>
    <sheetView tabSelected="1" workbookViewId="0"/>
  </sheetViews>
  <sheetFormatPr baseColWidth="10" defaultRowHeight="12.75"/>
  <cols>
    <col min="1" max="1" width="54" customWidth="1"/>
    <col min="2" max="2" width="7.42578125" style="7" customWidth="1"/>
    <col min="3" max="3" width="7.42578125" style="3" customWidth="1"/>
    <col min="4" max="4" width="19.7109375" style="3" customWidth="1"/>
    <col min="5" max="5" width="26.28515625" style="3" customWidth="1"/>
    <col min="6" max="6" width="8.7109375" style="3" customWidth="1"/>
    <col min="7" max="7" width="66.42578125" customWidth="1"/>
    <col min="8" max="8" width="137.5703125" customWidth="1"/>
    <col min="9" max="64" width="12.140625" customWidth="1"/>
  </cols>
  <sheetData>
    <row r="1" spans="1:8" ht="18">
      <c r="A1" s="1" t="s">
        <v>0</v>
      </c>
      <c r="B1" s="2"/>
    </row>
    <row r="2" spans="1:8" ht="18">
      <c r="A2" s="1"/>
      <c r="B2" s="2"/>
    </row>
    <row r="3" spans="1:8">
      <c r="A3" s="4" t="s">
        <v>1</v>
      </c>
      <c r="B3" s="5"/>
      <c r="C3" s="6" t="s">
        <v>2</v>
      </c>
      <c r="D3" s="6" t="s">
        <v>3</v>
      </c>
      <c r="E3" s="6" t="s">
        <v>4</v>
      </c>
      <c r="F3" s="6" t="s">
        <v>5</v>
      </c>
      <c r="G3" s="4" t="s">
        <v>6</v>
      </c>
      <c r="H3" s="4" t="s">
        <v>7</v>
      </c>
    </row>
    <row r="5" spans="1:8" ht="15.75">
      <c r="A5" s="8" t="s">
        <v>8</v>
      </c>
      <c r="B5" s="9"/>
    </row>
    <row r="6" spans="1:8">
      <c r="A6" s="10" t="s">
        <v>9</v>
      </c>
      <c r="B6" s="7" t="s">
        <v>10</v>
      </c>
      <c r="C6" s="3">
        <v>4</v>
      </c>
      <c r="D6" s="11">
        <v>1.83</v>
      </c>
      <c r="E6" s="11">
        <f>C6*D6</f>
        <v>7.32</v>
      </c>
      <c r="F6" s="11"/>
      <c r="H6" t="s">
        <v>11</v>
      </c>
    </row>
    <row r="7" spans="1:8">
      <c r="A7" s="10" t="s">
        <v>12</v>
      </c>
      <c r="B7" s="7" t="s">
        <v>10</v>
      </c>
      <c r="C7" s="3">
        <v>22</v>
      </c>
      <c r="D7" s="11">
        <v>1.91</v>
      </c>
      <c r="E7" s="11">
        <f>C7*D7</f>
        <v>42.019999999999996</v>
      </c>
      <c r="F7" s="11"/>
      <c r="H7" t="s">
        <v>13</v>
      </c>
    </row>
    <row r="8" spans="1:8">
      <c r="A8" s="10" t="s">
        <v>14</v>
      </c>
      <c r="B8" s="7" t="s">
        <v>10</v>
      </c>
      <c r="C8" s="3">
        <v>1</v>
      </c>
      <c r="D8" s="11">
        <v>8.51</v>
      </c>
      <c r="E8" s="11">
        <f>C8*D8</f>
        <v>8.51</v>
      </c>
      <c r="F8" s="11"/>
      <c r="H8" t="s">
        <v>15</v>
      </c>
    </row>
    <row r="9" spans="1:8">
      <c r="A9" s="10" t="s">
        <v>16</v>
      </c>
      <c r="B9" s="7" t="s">
        <v>10</v>
      </c>
      <c r="C9" s="3">
        <v>2</v>
      </c>
      <c r="D9" s="11">
        <v>0.14000000000000001</v>
      </c>
      <c r="E9" s="11">
        <v>1.1399999999999999</v>
      </c>
      <c r="F9" s="11"/>
      <c r="H9" t="s">
        <v>17</v>
      </c>
    </row>
    <row r="10" spans="1:8">
      <c r="A10" s="12" t="s">
        <v>18</v>
      </c>
      <c r="B10" s="7" t="s">
        <v>10</v>
      </c>
      <c r="C10" s="3">
        <v>1</v>
      </c>
      <c r="D10" s="11">
        <v>12.5</v>
      </c>
      <c r="E10" s="11">
        <f>C10*D10</f>
        <v>12.5</v>
      </c>
      <c r="F10" s="11"/>
      <c r="H10" t="s">
        <v>19</v>
      </c>
    </row>
    <row r="11" spans="1:8">
      <c r="A11" s="10" t="s">
        <v>20</v>
      </c>
      <c r="B11" s="7" t="s">
        <v>10</v>
      </c>
      <c r="C11" s="3">
        <v>10</v>
      </c>
      <c r="D11" s="11">
        <v>0.25</v>
      </c>
      <c r="E11" s="11">
        <f>C11*D11</f>
        <v>2.5</v>
      </c>
      <c r="F11" s="11"/>
      <c r="H11" t="s">
        <v>21</v>
      </c>
    </row>
    <row r="12" spans="1:8">
      <c r="A12" s="10" t="s">
        <v>22</v>
      </c>
      <c r="B12" s="7" t="s">
        <v>10</v>
      </c>
      <c r="C12" s="3">
        <v>10</v>
      </c>
      <c r="D12" s="11">
        <v>0.39</v>
      </c>
      <c r="E12" s="11">
        <f>C12*D12</f>
        <v>3.9000000000000004</v>
      </c>
      <c r="F12" s="11"/>
      <c r="H12" t="s">
        <v>23</v>
      </c>
    </row>
    <row r="13" spans="1:8">
      <c r="D13" s="11"/>
      <c r="E13" s="11"/>
      <c r="F13" s="11"/>
    </row>
    <row r="14" spans="1:8">
      <c r="A14" s="10" t="s">
        <v>24</v>
      </c>
      <c r="B14" s="7" t="s">
        <v>10</v>
      </c>
      <c r="C14" s="3">
        <v>2</v>
      </c>
      <c r="D14" s="11">
        <v>11.35</v>
      </c>
      <c r="E14" s="11">
        <f t="shared" ref="E14:E20" si="0">C14*D14</f>
        <v>22.7</v>
      </c>
      <c r="F14" s="11"/>
      <c r="G14" t="s">
        <v>25</v>
      </c>
      <c r="H14" t="s">
        <v>26</v>
      </c>
    </row>
    <row r="15" spans="1:8">
      <c r="A15" s="10" t="s">
        <v>27</v>
      </c>
      <c r="B15" s="7" t="s">
        <v>10</v>
      </c>
      <c r="C15" s="3">
        <v>10</v>
      </c>
      <c r="D15" s="11">
        <v>3.23</v>
      </c>
      <c r="E15" s="11">
        <f t="shared" si="0"/>
        <v>32.299999999999997</v>
      </c>
      <c r="F15" s="11"/>
      <c r="G15" t="s">
        <v>28</v>
      </c>
      <c r="H15" t="s">
        <v>29</v>
      </c>
    </row>
    <row r="16" spans="1:8">
      <c r="A16" s="10" t="s">
        <v>30</v>
      </c>
      <c r="B16" s="7" t="s">
        <v>10</v>
      </c>
      <c r="C16" s="3">
        <v>3</v>
      </c>
      <c r="D16" s="13">
        <v>5.27</v>
      </c>
      <c r="E16" s="11">
        <f t="shared" si="0"/>
        <v>15.809999999999999</v>
      </c>
      <c r="F16" s="11"/>
      <c r="G16" t="s">
        <v>31</v>
      </c>
      <c r="H16" t="s">
        <v>29</v>
      </c>
    </row>
    <row r="17" spans="1:8">
      <c r="A17" s="10" t="s">
        <v>32</v>
      </c>
      <c r="B17" s="7" t="s">
        <v>10</v>
      </c>
      <c r="C17" s="3">
        <v>2</v>
      </c>
      <c r="D17" s="11">
        <v>5.04</v>
      </c>
      <c r="E17" s="11">
        <f t="shared" si="0"/>
        <v>10.08</v>
      </c>
      <c r="F17" s="11"/>
      <c r="G17" t="s">
        <v>33</v>
      </c>
      <c r="H17" t="s">
        <v>29</v>
      </c>
    </row>
    <row r="18" spans="1:8">
      <c r="A18" t="s">
        <v>34</v>
      </c>
      <c r="B18" s="7" t="s">
        <v>10</v>
      </c>
      <c r="C18" s="3">
        <v>1</v>
      </c>
      <c r="D18" s="11">
        <v>10</v>
      </c>
      <c r="E18" s="11">
        <f t="shared" si="0"/>
        <v>10</v>
      </c>
      <c r="F18" s="11"/>
    </row>
    <row r="19" spans="1:8">
      <c r="A19" s="14" t="s">
        <v>35</v>
      </c>
      <c r="B19" s="7" t="s">
        <v>10</v>
      </c>
      <c r="C19" s="3">
        <v>2</v>
      </c>
      <c r="D19" s="11">
        <v>80</v>
      </c>
      <c r="E19" s="11">
        <f t="shared" si="0"/>
        <v>160</v>
      </c>
      <c r="F19" s="11"/>
    </row>
    <row r="20" spans="1:8">
      <c r="A20" s="10" t="s">
        <v>16</v>
      </c>
      <c r="B20" s="7" t="s">
        <v>10</v>
      </c>
      <c r="C20" s="3">
        <v>8</v>
      </c>
      <c r="D20" s="11">
        <v>0.12</v>
      </c>
      <c r="E20" s="11">
        <f t="shared" si="0"/>
        <v>0.96</v>
      </c>
      <c r="F20" s="11"/>
    </row>
    <row r="21" spans="1:8">
      <c r="D21" s="11"/>
      <c r="E21" s="11"/>
      <c r="F21" s="11"/>
    </row>
    <row r="22" spans="1:8">
      <c r="A22" s="15" t="s">
        <v>36</v>
      </c>
      <c r="C22" s="3">
        <v>2</v>
      </c>
      <c r="D22" s="11">
        <v>55.12</v>
      </c>
      <c r="E22" s="11">
        <f>C22*D22</f>
        <v>110.24</v>
      </c>
      <c r="F22" s="11"/>
      <c r="H22" t="s">
        <v>37</v>
      </c>
    </row>
    <row r="23" spans="1:8">
      <c r="A23" s="10" t="s">
        <v>38</v>
      </c>
      <c r="B23" s="7" t="s">
        <v>10</v>
      </c>
      <c r="C23" s="3">
        <v>46</v>
      </c>
      <c r="D23" s="11">
        <v>0.39</v>
      </c>
      <c r="E23" s="11">
        <f>C23*D23</f>
        <v>17.940000000000001</v>
      </c>
      <c r="F23" s="11"/>
      <c r="H23" t="s">
        <v>39</v>
      </c>
    </row>
    <row r="24" spans="1:8">
      <c r="A24" s="10" t="s">
        <v>40</v>
      </c>
      <c r="B24" s="7" t="s">
        <v>10</v>
      </c>
      <c r="C24" s="3">
        <v>46</v>
      </c>
      <c r="D24" s="11">
        <v>0.11</v>
      </c>
      <c r="E24" s="11">
        <f>C24*D24</f>
        <v>5.0599999999999996</v>
      </c>
      <c r="F24" s="11"/>
      <c r="H24" t="s">
        <v>41</v>
      </c>
    </row>
    <row r="25" spans="1:8">
      <c r="D25" s="11"/>
      <c r="E25" s="11"/>
      <c r="F25" s="11"/>
    </row>
    <row r="26" spans="1:8" ht="15.75">
      <c r="A26" s="8" t="s">
        <v>42</v>
      </c>
      <c r="B26" s="9"/>
      <c r="D26" s="11"/>
      <c r="E26" s="11"/>
      <c r="F26" s="11"/>
    </row>
    <row r="27" spans="1:8">
      <c r="A27" s="16" t="s">
        <v>43</v>
      </c>
      <c r="B27" s="7" t="s">
        <v>10</v>
      </c>
      <c r="C27" s="3">
        <v>2</v>
      </c>
      <c r="D27" s="17">
        <f>27.7*1.19</f>
        <v>32.963000000000001</v>
      </c>
      <c r="E27" s="11">
        <f>C27*D27</f>
        <v>65.926000000000002</v>
      </c>
      <c r="F27" s="11" t="s">
        <v>10</v>
      </c>
      <c r="H27" t="s">
        <v>44</v>
      </c>
    </row>
    <row r="28" spans="1:8">
      <c r="A28" s="10" t="s">
        <v>45</v>
      </c>
      <c r="B28" s="7" t="s">
        <v>10</v>
      </c>
      <c r="C28" s="3">
        <v>8</v>
      </c>
      <c r="D28" s="11">
        <v>0.11</v>
      </c>
      <c r="E28" s="11">
        <f>C28*D28</f>
        <v>0.88</v>
      </c>
      <c r="F28" s="11" t="s">
        <v>10</v>
      </c>
      <c r="H28" t="s">
        <v>46</v>
      </c>
    </row>
    <row r="29" spans="1:8">
      <c r="A29" s="10"/>
      <c r="D29" s="11"/>
      <c r="E29" s="11"/>
      <c r="F29" s="11"/>
    </row>
    <row r="30" spans="1:8">
      <c r="A30" s="10" t="s">
        <v>47</v>
      </c>
      <c r="B30" s="7" t="s">
        <v>10</v>
      </c>
      <c r="C30" s="3">
        <v>2</v>
      </c>
      <c r="D30" s="11">
        <v>8.5</v>
      </c>
      <c r="E30" s="11">
        <f>C30*D30</f>
        <v>17</v>
      </c>
      <c r="F30" s="11" t="s">
        <v>10</v>
      </c>
      <c r="H30" t="s">
        <v>48</v>
      </c>
    </row>
    <row r="31" spans="1:8">
      <c r="A31" s="10"/>
      <c r="D31" s="11"/>
      <c r="E31" s="11"/>
      <c r="F31" s="11"/>
    </row>
    <row r="32" spans="1:8">
      <c r="D32" s="11"/>
      <c r="E32" s="11"/>
      <c r="F32" s="11"/>
    </row>
    <row r="33" spans="1:8">
      <c r="D33" s="11"/>
      <c r="E33" s="11"/>
      <c r="F33" s="11"/>
    </row>
    <row r="34" spans="1:8">
      <c r="A34" s="18" t="s">
        <v>49</v>
      </c>
      <c r="B34" s="7" t="s">
        <v>10</v>
      </c>
      <c r="C34" s="3">
        <v>2</v>
      </c>
      <c r="D34" s="11">
        <v>6.89</v>
      </c>
      <c r="E34" s="11">
        <f>C34*D34</f>
        <v>13.78</v>
      </c>
      <c r="F34" s="11" t="s">
        <v>10</v>
      </c>
      <c r="H34" t="s">
        <v>50</v>
      </c>
    </row>
    <row r="35" spans="1:8">
      <c r="D35" s="11"/>
      <c r="E35" s="11"/>
      <c r="F35" s="11"/>
    </row>
    <row r="36" spans="1:8" ht="15.75">
      <c r="A36" s="8" t="s">
        <v>51</v>
      </c>
      <c r="B36" s="9"/>
      <c r="D36" s="11"/>
      <c r="E36" s="11"/>
      <c r="F36" s="11"/>
    </row>
    <row r="37" spans="1:8">
      <c r="A37" s="19" t="s">
        <v>52</v>
      </c>
      <c r="B37" s="7" t="s">
        <v>10</v>
      </c>
      <c r="C37" s="3">
        <v>2</v>
      </c>
      <c r="D37" s="17">
        <f>20.09*1.19</f>
        <v>23.9071</v>
      </c>
      <c r="E37" s="17">
        <f>C37*D37</f>
        <v>47.8142</v>
      </c>
      <c r="F37" s="17" t="s">
        <v>10</v>
      </c>
      <c r="H37" t="s">
        <v>53</v>
      </c>
    </row>
    <row r="38" spans="1:8">
      <c r="A38" s="10" t="s">
        <v>54</v>
      </c>
      <c r="B38" s="7" t="s">
        <v>10</v>
      </c>
      <c r="C38" s="3">
        <v>2</v>
      </c>
      <c r="D38" s="11">
        <v>5.9</v>
      </c>
      <c r="E38" s="11">
        <f>C38*D38</f>
        <v>11.8</v>
      </c>
      <c r="F38" s="11" t="s">
        <v>10</v>
      </c>
      <c r="H38" t="s">
        <v>55</v>
      </c>
    </row>
    <row r="39" spans="1:8">
      <c r="A39" s="10" t="s">
        <v>56</v>
      </c>
      <c r="B39" s="7" t="s">
        <v>10</v>
      </c>
      <c r="C39" s="3">
        <v>4</v>
      </c>
      <c r="D39" s="11">
        <v>0.15</v>
      </c>
      <c r="E39" s="11">
        <f>C39*D39</f>
        <v>0.6</v>
      </c>
      <c r="F39" s="11" t="s">
        <v>10</v>
      </c>
      <c r="H39" t="s">
        <v>57</v>
      </c>
    </row>
    <row r="40" spans="1:8">
      <c r="D40" s="17"/>
      <c r="E40" s="11"/>
      <c r="F40" s="11"/>
    </row>
    <row r="41" spans="1:8">
      <c r="A41" s="15" t="s">
        <v>58</v>
      </c>
      <c r="C41" s="3">
        <v>2</v>
      </c>
      <c r="D41" s="11">
        <v>18.600000000000001</v>
      </c>
      <c r="E41" s="11">
        <f>C41*D41</f>
        <v>37.200000000000003</v>
      </c>
      <c r="F41" s="11" t="s">
        <v>10</v>
      </c>
      <c r="H41" t="s">
        <v>59</v>
      </c>
    </row>
    <row r="42" spans="1:8">
      <c r="A42" s="10" t="s">
        <v>40</v>
      </c>
      <c r="B42" s="7" t="s">
        <v>10</v>
      </c>
      <c r="C42" s="3">
        <v>8</v>
      </c>
      <c r="D42" s="11">
        <v>0.13</v>
      </c>
      <c r="E42" s="11">
        <f>C42*D42</f>
        <v>1.04</v>
      </c>
      <c r="F42" s="11" t="s">
        <v>10</v>
      </c>
      <c r="H42" t="s">
        <v>41</v>
      </c>
    </row>
    <row r="43" spans="1:8">
      <c r="D43" s="11"/>
      <c r="E43" s="11"/>
      <c r="F43" s="11"/>
    </row>
    <row r="44" spans="1:8">
      <c r="A44" s="10" t="s">
        <v>60</v>
      </c>
      <c r="B44" s="7" t="s">
        <v>10</v>
      </c>
      <c r="C44" s="3">
        <v>1</v>
      </c>
      <c r="D44" s="11">
        <v>4.83</v>
      </c>
      <c r="E44" s="11">
        <f>C44*D44</f>
        <v>4.83</v>
      </c>
      <c r="F44" s="11" t="s">
        <v>10</v>
      </c>
      <c r="H44" t="s">
        <v>61</v>
      </c>
    </row>
    <row r="45" spans="1:8">
      <c r="A45" s="14" t="s">
        <v>62</v>
      </c>
      <c r="C45" s="3">
        <v>2</v>
      </c>
      <c r="D45" s="11">
        <v>35</v>
      </c>
      <c r="E45" s="11">
        <f>C45*D45</f>
        <v>70</v>
      </c>
      <c r="F45" s="11" t="s">
        <v>10</v>
      </c>
    </row>
    <row r="46" spans="1:8">
      <c r="A46" s="10" t="s">
        <v>16</v>
      </c>
      <c r="B46" s="7" t="s">
        <v>10</v>
      </c>
      <c r="C46" s="3">
        <v>4</v>
      </c>
      <c r="D46" s="11">
        <v>0.15</v>
      </c>
      <c r="E46" s="11">
        <f>C46*D46</f>
        <v>0.6</v>
      </c>
      <c r="F46" s="11" t="s">
        <v>10</v>
      </c>
      <c r="H46" t="s">
        <v>17</v>
      </c>
    </row>
    <row r="47" spans="1:8">
      <c r="D47" s="11"/>
      <c r="E47" s="11"/>
      <c r="F47" s="11"/>
    </row>
    <row r="48" spans="1:8">
      <c r="A48" s="16" t="s">
        <v>43</v>
      </c>
      <c r="B48" s="7" t="s">
        <v>10</v>
      </c>
      <c r="C48" s="3">
        <v>1</v>
      </c>
      <c r="D48" s="17">
        <f>27.7*1.19</f>
        <v>32.963000000000001</v>
      </c>
      <c r="E48" s="17">
        <f>C48*D48</f>
        <v>32.963000000000001</v>
      </c>
      <c r="F48" s="11" t="s">
        <v>10</v>
      </c>
      <c r="H48" t="s">
        <v>44</v>
      </c>
    </row>
    <row r="49" spans="1:8">
      <c r="A49" s="10" t="s">
        <v>45</v>
      </c>
      <c r="B49" s="7" t="s">
        <v>10</v>
      </c>
      <c r="C49" s="3">
        <v>4</v>
      </c>
      <c r="D49" s="11">
        <v>0.11</v>
      </c>
      <c r="E49" s="11">
        <f>C49*D49</f>
        <v>0.44</v>
      </c>
      <c r="F49" s="11" t="s">
        <v>10</v>
      </c>
      <c r="H49" t="s">
        <v>46</v>
      </c>
    </row>
    <row r="50" spans="1:8">
      <c r="A50" s="10" t="s">
        <v>47</v>
      </c>
      <c r="B50" s="7" t="s">
        <v>10</v>
      </c>
      <c r="C50" s="3">
        <v>1</v>
      </c>
      <c r="D50" s="11">
        <v>8.5</v>
      </c>
      <c r="E50" s="11">
        <f>C50*D50</f>
        <v>8.5</v>
      </c>
      <c r="F50" s="11" t="s">
        <v>10</v>
      </c>
      <c r="H50" t="s">
        <v>48</v>
      </c>
    </row>
    <row r="51" spans="1:8">
      <c r="A51" s="10" t="s">
        <v>63</v>
      </c>
      <c r="B51" s="7" t="s">
        <v>10</v>
      </c>
      <c r="C51" s="3">
        <v>1</v>
      </c>
      <c r="D51" s="11">
        <v>0.5</v>
      </c>
      <c r="E51" s="11">
        <f>C51*D51</f>
        <v>0.5</v>
      </c>
      <c r="F51" s="11" t="s">
        <v>10</v>
      </c>
      <c r="H51" t="s">
        <v>64</v>
      </c>
    </row>
    <row r="52" spans="1:8">
      <c r="A52" t="s">
        <v>65</v>
      </c>
      <c r="C52" s="3">
        <v>1</v>
      </c>
      <c r="D52" s="11" t="s">
        <v>66</v>
      </c>
      <c r="E52" s="11"/>
      <c r="F52" s="11"/>
    </row>
    <row r="53" spans="1:8">
      <c r="A53" s="10" t="s">
        <v>67</v>
      </c>
      <c r="B53" s="7" t="s">
        <v>10</v>
      </c>
      <c r="C53" s="3">
        <v>1</v>
      </c>
      <c r="D53" s="13">
        <v>21.3</v>
      </c>
      <c r="E53" s="11">
        <f>C53*D53</f>
        <v>21.3</v>
      </c>
      <c r="F53" s="11" t="s">
        <v>10</v>
      </c>
      <c r="H53" t="s">
        <v>44</v>
      </c>
    </row>
    <row r="54" spans="1:8">
      <c r="D54" s="11"/>
      <c r="E54" s="11"/>
      <c r="F54" s="11"/>
    </row>
    <row r="55" spans="1:8">
      <c r="A55" s="10" t="s">
        <v>68</v>
      </c>
      <c r="B55" s="7" t="s">
        <v>10</v>
      </c>
      <c r="C55" s="3">
        <v>2</v>
      </c>
      <c r="D55" s="11">
        <v>8.6999999999999993</v>
      </c>
      <c r="E55" s="11">
        <f>C55*D55</f>
        <v>17.399999999999999</v>
      </c>
      <c r="F55" s="11" t="s">
        <v>10</v>
      </c>
      <c r="H55" t="s">
        <v>69</v>
      </c>
    </row>
    <row r="56" spans="1:8">
      <c r="A56" s="10" t="s">
        <v>70</v>
      </c>
      <c r="B56" s="7" t="s">
        <v>10</v>
      </c>
      <c r="C56" s="3">
        <v>4</v>
      </c>
      <c r="D56" s="11">
        <v>0.15</v>
      </c>
      <c r="E56" s="11">
        <f>C56*D56</f>
        <v>0.6</v>
      </c>
      <c r="F56" s="11" t="s">
        <v>10</v>
      </c>
      <c r="H56" t="s">
        <v>71</v>
      </c>
    </row>
    <row r="57" spans="1:8">
      <c r="A57" s="10" t="s">
        <v>72</v>
      </c>
      <c r="B57" s="7" t="s">
        <v>10</v>
      </c>
      <c r="C57" s="3">
        <v>4</v>
      </c>
      <c r="D57" s="11">
        <v>0.14000000000000001</v>
      </c>
      <c r="E57" s="11">
        <f>C57*D57</f>
        <v>0.56000000000000005</v>
      </c>
      <c r="F57" s="11" t="s">
        <v>10</v>
      </c>
      <c r="H57" t="s">
        <v>73</v>
      </c>
    </row>
    <row r="58" spans="1:8">
      <c r="D58" s="11"/>
      <c r="E58" s="11"/>
      <c r="F58" s="11"/>
    </row>
    <row r="59" spans="1:8">
      <c r="A59" s="18" t="s">
        <v>49</v>
      </c>
      <c r="B59" s="7" t="s">
        <v>10</v>
      </c>
      <c r="C59" s="3">
        <v>2</v>
      </c>
      <c r="D59" s="11">
        <v>6.89</v>
      </c>
      <c r="E59" s="11">
        <f>C59*D59</f>
        <v>13.78</v>
      </c>
      <c r="F59" s="11" t="s">
        <v>10</v>
      </c>
      <c r="H59" t="s">
        <v>50</v>
      </c>
    </row>
    <row r="60" spans="1:8">
      <c r="D60" s="11"/>
      <c r="E60" s="11"/>
      <c r="F60" s="11"/>
    </row>
    <row r="61" spans="1:8" ht="15.75">
      <c r="A61" s="8" t="s">
        <v>74</v>
      </c>
      <c r="B61" s="9"/>
      <c r="D61" s="11"/>
      <c r="E61" s="11"/>
      <c r="F61" s="11"/>
    </row>
    <row r="62" spans="1:8">
      <c r="A62" s="10" t="s">
        <v>75</v>
      </c>
      <c r="B62" s="7" t="s">
        <v>10</v>
      </c>
      <c r="C62" s="3">
        <v>3</v>
      </c>
      <c r="D62" s="13">
        <v>0.14000000000000001</v>
      </c>
      <c r="E62" s="11">
        <f>C62*D62</f>
        <v>0.42000000000000004</v>
      </c>
      <c r="F62" s="11" t="s">
        <v>10</v>
      </c>
      <c r="H62" t="s">
        <v>76</v>
      </c>
    </row>
    <row r="63" spans="1:8">
      <c r="A63" s="10" t="s">
        <v>77</v>
      </c>
      <c r="B63" s="7" t="s">
        <v>10</v>
      </c>
      <c r="C63" s="3">
        <v>2</v>
      </c>
      <c r="D63" s="13">
        <v>0.14000000000000001</v>
      </c>
      <c r="E63" s="11">
        <f>C63*D63</f>
        <v>0.28000000000000003</v>
      </c>
      <c r="F63" s="11" t="s">
        <v>10</v>
      </c>
      <c r="H63" t="s">
        <v>78</v>
      </c>
    </row>
    <row r="64" spans="1:8">
      <c r="D64" s="11"/>
      <c r="E64" s="11"/>
      <c r="F64" s="11"/>
    </row>
    <row r="65" spans="1:8">
      <c r="A65" s="10" t="s">
        <v>79</v>
      </c>
      <c r="B65" s="7" t="s">
        <v>10</v>
      </c>
      <c r="C65" s="3">
        <v>4</v>
      </c>
      <c r="D65" s="11">
        <v>4.2</v>
      </c>
      <c r="E65" s="17">
        <f>C65*D65</f>
        <v>16.8</v>
      </c>
      <c r="F65" s="17" t="s">
        <v>10</v>
      </c>
      <c r="H65" t="s">
        <v>80</v>
      </c>
    </row>
    <row r="66" spans="1:8">
      <c r="A66" s="10" t="s">
        <v>81</v>
      </c>
      <c r="B66" s="7" t="s">
        <v>10</v>
      </c>
      <c r="C66" s="3">
        <v>4</v>
      </c>
      <c r="D66" s="11">
        <v>0.15</v>
      </c>
      <c r="E66" s="17">
        <f>C66*D66</f>
        <v>0.6</v>
      </c>
      <c r="F66" s="17" t="s">
        <v>10</v>
      </c>
      <c r="H66" t="s">
        <v>82</v>
      </c>
    </row>
    <row r="67" spans="1:8">
      <c r="A67" s="19" t="s">
        <v>52</v>
      </c>
      <c r="B67" s="7" t="s">
        <v>10</v>
      </c>
      <c r="C67" s="3">
        <v>1</v>
      </c>
      <c r="D67" s="17">
        <f>20.09*1.19</f>
        <v>23.9071</v>
      </c>
      <c r="E67" s="17">
        <f>C67*D67</f>
        <v>23.9071</v>
      </c>
      <c r="F67" s="17" t="s">
        <v>10</v>
      </c>
      <c r="H67" t="s">
        <v>53</v>
      </c>
    </row>
    <row r="68" spans="1:8">
      <c r="D68" s="17"/>
      <c r="E68" s="17"/>
      <c r="F68" s="17"/>
    </row>
    <row r="69" spans="1:8">
      <c r="A69" s="16" t="s">
        <v>43</v>
      </c>
      <c r="C69" s="3">
        <v>1</v>
      </c>
      <c r="D69" s="17">
        <f>27.7*1.19</f>
        <v>32.963000000000001</v>
      </c>
      <c r="E69" s="17">
        <f>C69*D69</f>
        <v>32.963000000000001</v>
      </c>
      <c r="F69" s="11" t="s">
        <v>10</v>
      </c>
      <c r="H69" t="s">
        <v>44</v>
      </c>
    </row>
    <row r="70" spans="1:8">
      <c r="A70" s="10" t="s">
        <v>40</v>
      </c>
      <c r="B70" s="7" t="s">
        <v>10</v>
      </c>
      <c r="C70" s="3">
        <v>4</v>
      </c>
      <c r="D70" s="11">
        <v>0.11</v>
      </c>
      <c r="E70" s="11">
        <f>C70*D70</f>
        <v>0.44</v>
      </c>
      <c r="F70" s="11" t="s">
        <v>10</v>
      </c>
      <c r="H70" t="s">
        <v>46</v>
      </c>
    </row>
    <row r="71" spans="1:8">
      <c r="A71" s="10" t="s">
        <v>83</v>
      </c>
      <c r="B71" s="7" t="s">
        <v>10</v>
      </c>
      <c r="C71" s="3">
        <v>1</v>
      </c>
      <c r="D71" s="17">
        <v>2.9</v>
      </c>
      <c r="E71" s="11">
        <f>C71*D71</f>
        <v>2.9</v>
      </c>
      <c r="F71" s="11" t="s">
        <v>10</v>
      </c>
      <c r="H71" t="s">
        <v>84</v>
      </c>
    </row>
    <row r="72" spans="1:8">
      <c r="A72" s="10" t="s">
        <v>85</v>
      </c>
      <c r="C72" s="3">
        <v>1</v>
      </c>
      <c r="D72" s="17">
        <v>3.2</v>
      </c>
      <c r="E72" s="11">
        <f>C72*D72</f>
        <v>3.2</v>
      </c>
      <c r="F72" s="11" t="s">
        <v>10</v>
      </c>
      <c r="H72" t="s">
        <v>86</v>
      </c>
    </row>
    <row r="73" spans="1:8">
      <c r="A73" s="10" t="s">
        <v>87</v>
      </c>
      <c r="B73" s="7" t="s">
        <v>10</v>
      </c>
      <c r="C73" s="3">
        <v>1</v>
      </c>
      <c r="D73" s="17">
        <v>2.5</v>
      </c>
      <c r="E73" s="11">
        <f>C73*D73</f>
        <v>2.5</v>
      </c>
      <c r="F73" s="11" t="s">
        <v>10</v>
      </c>
    </row>
    <row r="74" spans="1:8">
      <c r="D74" s="11"/>
      <c r="E74" s="11"/>
      <c r="F74" s="11"/>
    </row>
    <row r="75" spans="1:8">
      <c r="A75" s="15" t="s">
        <v>58</v>
      </c>
      <c r="C75" s="3">
        <v>1</v>
      </c>
      <c r="D75" s="11">
        <v>18.600000000000001</v>
      </c>
      <c r="E75" s="11">
        <f>C75*D75</f>
        <v>18.600000000000001</v>
      </c>
      <c r="F75" s="11" t="s">
        <v>10</v>
      </c>
      <c r="H75" t="s">
        <v>59</v>
      </c>
    </row>
    <row r="76" spans="1:8">
      <c r="A76" s="10" t="s">
        <v>88</v>
      </c>
      <c r="B76" s="7" t="s">
        <v>10</v>
      </c>
      <c r="C76" s="3">
        <v>4</v>
      </c>
      <c r="D76" s="11">
        <v>0.3</v>
      </c>
      <c r="E76" s="11">
        <f>C76*D76</f>
        <v>1.2</v>
      </c>
      <c r="F76" s="11" t="s">
        <v>10</v>
      </c>
      <c r="H76" t="s">
        <v>89</v>
      </c>
    </row>
    <row r="77" spans="1:8">
      <c r="D77" s="11"/>
      <c r="E77" s="11"/>
      <c r="F77" s="11"/>
    </row>
    <row r="78" spans="1:8">
      <c r="A78" s="18" t="s">
        <v>90</v>
      </c>
      <c r="B78" s="7" t="s">
        <v>10</v>
      </c>
      <c r="C78" s="3">
        <v>1</v>
      </c>
      <c r="D78" s="11">
        <v>10.69</v>
      </c>
      <c r="E78" s="11">
        <f>C78*D78</f>
        <v>10.69</v>
      </c>
      <c r="F78" s="11" t="s">
        <v>10</v>
      </c>
      <c r="H78" t="s">
        <v>91</v>
      </c>
    </row>
    <row r="79" spans="1:8">
      <c r="D79" s="11"/>
      <c r="E79" s="11"/>
      <c r="F79" s="11"/>
    </row>
    <row r="80" spans="1:8" ht="15.75">
      <c r="A80" s="8" t="s">
        <v>92</v>
      </c>
      <c r="B80" s="9"/>
      <c r="D80" s="11"/>
      <c r="E80" s="11"/>
      <c r="F80" s="11"/>
    </row>
    <row r="81" spans="1:64">
      <c r="A81" s="10" t="s">
        <v>93</v>
      </c>
      <c r="B81" s="7" t="s">
        <v>10</v>
      </c>
      <c r="C81" s="3">
        <v>1</v>
      </c>
      <c r="D81" s="13">
        <v>20.55</v>
      </c>
      <c r="E81" s="11">
        <f>C81*D81</f>
        <v>20.55</v>
      </c>
      <c r="F81" s="11" t="s">
        <v>10</v>
      </c>
      <c r="H81" t="s">
        <v>94</v>
      </c>
    </row>
    <row r="82" spans="1:64">
      <c r="A82" t="s">
        <v>95</v>
      </c>
      <c r="C82" s="3">
        <v>1</v>
      </c>
      <c r="D82" s="13" t="s">
        <v>66</v>
      </c>
      <c r="E82" s="11"/>
      <c r="F82" s="11" t="s">
        <v>10</v>
      </c>
    </row>
    <row r="83" spans="1:64">
      <c r="D83" s="13"/>
      <c r="E83" s="11"/>
      <c r="F83" s="11"/>
    </row>
    <row r="84" spans="1:64" ht="15.75">
      <c r="A84" s="8" t="s">
        <v>96</v>
      </c>
      <c r="B84" s="9"/>
      <c r="D84" s="13"/>
      <c r="E84" s="11"/>
      <c r="F84" s="11"/>
    </row>
    <row r="85" spans="1:64">
      <c r="A85" s="20" t="s">
        <v>97</v>
      </c>
      <c r="B85" s="21" t="s">
        <v>10</v>
      </c>
      <c r="C85" s="3">
        <v>1</v>
      </c>
      <c r="D85" s="13">
        <v>25.99</v>
      </c>
      <c r="E85" s="11">
        <f>C85*D85</f>
        <v>25.99</v>
      </c>
      <c r="F85" s="11" t="s">
        <v>10</v>
      </c>
      <c r="H85" t="s">
        <v>98</v>
      </c>
    </row>
    <row r="86" spans="1:64">
      <c r="A86" s="20" t="s">
        <v>99</v>
      </c>
      <c r="B86" s="21" t="s">
        <v>10</v>
      </c>
      <c r="C86" s="3">
        <v>1</v>
      </c>
      <c r="D86" s="13">
        <v>33.99</v>
      </c>
      <c r="E86" s="11">
        <f>C86*D86</f>
        <v>33.99</v>
      </c>
      <c r="F86" s="11" t="s">
        <v>10</v>
      </c>
      <c r="H86" t="s">
        <v>100</v>
      </c>
    </row>
    <row r="87" spans="1:64">
      <c r="A87" s="18" t="s">
        <v>101</v>
      </c>
      <c r="B87" s="7" t="s">
        <v>10</v>
      </c>
      <c r="C87" s="22">
        <v>1</v>
      </c>
      <c r="D87" s="23">
        <v>37.9</v>
      </c>
      <c r="E87" s="23">
        <f>C87*D87</f>
        <v>37.9</v>
      </c>
      <c r="F87" s="23" t="s">
        <v>10</v>
      </c>
      <c r="H87" t="s">
        <v>102</v>
      </c>
    </row>
    <row r="88" spans="1:64">
      <c r="A88" s="24" t="s">
        <v>103</v>
      </c>
      <c r="B88" s="21"/>
      <c r="C88" s="22"/>
      <c r="D88" s="22"/>
      <c r="E88" s="22"/>
      <c r="F88" s="22" t="s">
        <v>10</v>
      </c>
    </row>
    <row r="89" spans="1:64">
      <c r="A89" s="24" t="s">
        <v>104</v>
      </c>
      <c r="B89" s="21"/>
      <c r="C89" s="22"/>
      <c r="D89" s="22"/>
      <c r="E89" s="22"/>
      <c r="F89" s="22" t="s">
        <v>10</v>
      </c>
      <c r="G89" s="24"/>
    </row>
    <row r="90" spans="1:64">
      <c r="A90" s="24" t="s">
        <v>105</v>
      </c>
      <c r="B90" s="21"/>
      <c r="C90" s="22"/>
      <c r="D90" s="22"/>
      <c r="E90" s="22"/>
      <c r="F90" s="22"/>
      <c r="G90" s="24"/>
    </row>
    <row r="91" spans="1:64">
      <c r="A91" s="24" t="s">
        <v>106</v>
      </c>
      <c r="B91" s="21"/>
      <c r="C91" s="22"/>
      <c r="D91" s="22"/>
      <c r="E91" s="22"/>
      <c r="F91" s="22" t="s">
        <v>10</v>
      </c>
      <c r="G91" s="24"/>
    </row>
    <row r="92" spans="1:64">
      <c r="A92" s="24" t="s">
        <v>107</v>
      </c>
      <c r="B92" s="21"/>
      <c r="C92" s="22"/>
      <c r="D92" s="22"/>
      <c r="E92" s="22"/>
      <c r="F92" s="22" t="s">
        <v>10</v>
      </c>
      <c r="G92" s="24"/>
    </row>
    <row r="93" spans="1:64">
      <c r="A93" s="25" t="s">
        <v>108</v>
      </c>
      <c r="B93" s="26"/>
      <c r="C93" s="27"/>
      <c r="D93" s="27"/>
      <c r="E93" s="27"/>
      <c r="F93" s="27" t="s">
        <v>10</v>
      </c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</row>
    <row r="94" spans="1:64">
      <c r="A94" s="28" t="s">
        <v>109</v>
      </c>
      <c r="B94" s="29"/>
      <c r="C94" s="30"/>
      <c r="D94" s="30"/>
      <c r="E94" s="30">
        <f>SUM(E6:E24)</f>
        <v>462.97999999999996</v>
      </c>
      <c r="F94" s="22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</row>
    <row r="95" spans="1:64">
      <c r="A95" s="28" t="s">
        <v>110</v>
      </c>
      <c r="B95" s="29"/>
      <c r="C95" s="30"/>
      <c r="D95" s="30"/>
      <c r="E95" s="31">
        <f>E94/1.19</f>
        <v>389.05882352941177</v>
      </c>
      <c r="F95" s="22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</row>
    <row r="96" spans="1:64">
      <c r="A96" s="24"/>
      <c r="B96" s="21"/>
      <c r="C96" s="22"/>
      <c r="D96" s="22"/>
      <c r="E96" s="22"/>
      <c r="F96" s="22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</row>
    <row r="97" spans="1:64">
      <c r="A97" s="4" t="s">
        <v>111</v>
      </c>
      <c r="B97" s="5"/>
      <c r="C97" s="6"/>
      <c r="D97" s="6"/>
      <c r="E97" s="32">
        <f>SUM(E27:E93)</f>
        <v>600.44330000000002</v>
      </c>
      <c r="F97" s="22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</row>
    <row r="98" spans="1:64">
      <c r="A98" s="4" t="s">
        <v>112</v>
      </c>
      <c r="B98" s="5"/>
      <c r="C98" s="6"/>
      <c r="D98" s="6"/>
      <c r="E98" s="32">
        <f>E97/1.19</f>
        <v>504.57420168067233</v>
      </c>
      <c r="F98" s="22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</row>
    <row r="99" spans="1:64">
      <c r="A99" s="4"/>
      <c r="B99" s="5"/>
      <c r="C99" s="6"/>
      <c r="D99" s="6"/>
      <c r="E99" s="32"/>
      <c r="F99" s="22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</row>
    <row r="100" spans="1:64">
      <c r="A100" s="4" t="s">
        <v>113</v>
      </c>
      <c r="B100" s="5"/>
      <c r="C100" s="6"/>
      <c r="D100" s="6"/>
      <c r="E100" s="32">
        <f>SUM(E6:E93)</f>
        <v>1063.4232999999999</v>
      </c>
      <c r="F100" s="32"/>
    </row>
    <row r="101" spans="1:64">
      <c r="A101" s="4" t="s">
        <v>114</v>
      </c>
      <c r="B101" s="5"/>
      <c r="C101" s="6"/>
      <c r="D101" s="6"/>
      <c r="E101" s="32">
        <f>E100/1.19</f>
        <v>893.63302521008404</v>
      </c>
      <c r="F101" s="32"/>
    </row>
    <row r="102" spans="1:64">
      <c r="A102" s="4"/>
      <c r="B102" s="5"/>
      <c r="C102" s="6"/>
      <c r="D102" s="6"/>
      <c r="E102" s="6"/>
      <c r="F102" s="6"/>
    </row>
    <row r="103" spans="1:64">
      <c r="A103" s="4" t="s">
        <v>115</v>
      </c>
      <c r="B103" s="5"/>
      <c r="C103" s="6"/>
      <c r="D103" s="6"/>
      <c r="E103" s="32">
        <f>E100+3*E97</f>
        <v>2864.7532000000001</v>
      </c>
      <c r="F103" s="32"/>
    </row>
    <row r="104" spans="1:64">
      <c r="A104" s="4" t="s">
        <v>116</v>
      </c>
      <c r="B104" s="5"/>
      <c r="C104" s="6"/>
      <c r="D104" s="6"/>
      <c r="E104" s="32">
        <f>E103/1.19</f>
        <v>2407.355630252101</v>
      </c>
      <c r="F104" s="32"/>
    </row>
    <row r="107" spans="1:64" ht="15.75">
      <c r="A107" s="8" t="s">
        <v>117</v>
      </c>
      <c r="B107" s="9"/>
    </row>
    <row r="108" spans="1:64">
      <c r="A108" s="10" t="s">
        <v>118</v>
      </c>
      <c r="B108" s="7" t="s">
        <v>10</v>
      </c>
    </row>
    <row r="109" spans="1:64">
      <c r="A109" s="16" t="s">
        <v>119</v>
      </c>
      <c r="B109" s="7" t="s">
        <v>10</v>
      </c>
    </row>
    <row r="110" spans="1:64">
      <c r="A110" s="19" t="s">
        <v>120</v>
      </c>
      <c r="B110" s="7" t="s">
        <v>10</v>
      </c>
    </row>
    <row r="111" spans="1:64">
      <c r="A111" s="12" t="s">
        <v>121</v>
      </c>
      <c r="B111" s="7" t="s">
        <v>10</v>
      </c>
    </row>
    <row r="112" spans="1:64">
      <c r="A112" s="15" t="s">
        <v>122</v>
      </c>
      <c r="B112" s="7" t="s">
        <v>10</v>
      </c>
      <c r="E112" s="33"/>
    </row>
    <row r="113" spans="1:5">
      <c r="A113" s="18" t="s">
        <v>123</v>
      </c>
      <c r="B113" s="7" t="s">
        <v>10</v>
      </c>
      <c r="E113" s="13"/>
    </row>
    <row r="114" spans="1:5">
      <c r="A114" s="14" t="s">
        <v>124</v>
      </c>
      <c r="B114" s="7" t="s">
        <v>10</v>
      </c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9F7A-0472-4546-B1D9-3D376442E207}">
  <dimension ref="A1:XFD62"/>
  <sheetViews>
    <sheetView workbookViewId="0"/>
  </sheetViews>
  <sheetFormatPr baseColWidth="10" defaultRowHeight="12.75"/>
  <cols>
    <col min="1" max="1" width="54" customWidth="1"/>
    <col min="2" max="2" width="7.42578125" style="3" customWidth="1"/>
    <col min="3" max="3" width="19.7109375" style="3" customWidth="1"/>
    <col min="4" max="4" width="26.28515625" style="3" customWidth="1"/>
    <col min="5" max="5" width="8.7109375" style="3" customWidth="1"/>
    <col min="6" max="6" width="18.85546875" customWidth="1"/>
    <col min="7" max="7" width="137.5703125" customWidth="1"/>
    <col min="8" max="1023" width="12.140625" customWidth="1"/>
  </cols>
  <sheetData>
    <row r="1" spans="1:7" ht="18">
      <c r="A1" s="1" t="s">
        <v>125</v>
      </c>
    </row>
    <row r="2" spans="1:7" ht="18">
      <c r="A2" s="1"/>
    </row>
    <row r="3" spans="1:7">
      <c r="A3" s="4" t="s">
        <v>1</v>
      </c>
      <c r="B3" s="6" t="s">
        <v>2</v>
      </c>
      <c r="C3" s="6" t="s">
        <v>3</v>
      </c>
      <c r="D3" s="6" t="s">
        <v>4</v>
      </c>
      <c r="E3" s="6"/>
      <c r="F3" s="4" t="s">
        <v>6</v>
      </c>
      <c r="G3" s="4" t="s">
        <v>7</v>
      </c>
    </row>
    <row r="5" spans="1:7">
      <c r="A5" t="s">
        <v>97</v>
      </c>
      <c r="B5" s="3">
        <v>2</v>
      </c>
      <c r="C5" s="11">
        <v>25.99</v>
      </c>
      <c r="D5" s="11">
        <v>51.98</v>
      </c>
      <c r="E5" s="11"/>
      <c r="G5" t="s">
        <v>98</v>
      </c>
    </row>
    <row r="6" spans="1:7">
      <c r="A6" s="34" t="s">
        <v>99</v>
      </c>
      <c r="B6" s="3">
        <v>2</v>
      </c>
      <c r="C6" s="11">
        <v>33.99</v>
      </c>
      <c r="D6" s="11">
        <v>67.98</v>
      </c>
      <c r="E6" s="11"/>
      <c r="G6" t="s">
        <v>100</v>
      </c>
    </row>
    <row r="7" spans="1:7">
      <c r="A7" s="35" t="s">
        <v>126</v>
      </c>
      <c r="B7" s="3">
        <v>2</v>
      </c>
      <c r="C7" s="17">
        <v>34.99</v>
      </c>
      <c r="D7" s="11">
        <f t="shared" ref="D7:D15" si="0">B7*C7</f>
        <v>69.98</v>
      </c>
      <c r="E7" s="11"/>
      <c r="G7" t="s">
        <v>127</v>
      </c>
    </row>
    <row r="8" spans="1:7">
      <c r="A8" s="35" t="s">
        <v>128</v>
      </c>
      <c r="B8" s="3">
        <v>2</v>
      </c>
      <c r="C8" s="11">
        <v>6.99</v>
      </c>
      <c r="D8" s="11">
        <f t="shared" si="0"/>
        <v>13.98</v>
      </c>
      <c r="E8" s="11"/>
      <c r="G8" t="s">
        <v>129</v>
      </c>
    </row>
    <row r="9" spans="1:7">
      <c r="A9" s="35" t="s">
        <v>130</v>
      </c>
      <c r="B9" s="3">
        <v>2</v>
      </c>
      <c r="C9" s="11">
        <v>8.99</v>
      </c>
      <c r="D9" s="11">
        <f t="shared" si="0"/>
        <v>17.98</v>
      </c>
      <c r="E9" s="11"/>
      <c r="G9" t="s">
        <v>131</v>
      </c>
    </row>
    <row r="10" spans="1:7">
      <c r="A10" s="35" t="s">
        <v>132</v>
      </c>
      <c r="B10" s="3">
        <v>8</v>
      </c>
      <c r="C10" s="11">
        <v>6.89</v>
      </c>
      <c r="D10" s="11">
        <f t="shared" si="0"/>
        <v>55.12</v>
      </c>
      <c r="E10" s="11"/>
      <c r="G10" t="s">
        <v>133</v>
      </c>
    </row>
    <row r="11" spans="1:7">
      <c r="A11" s="35" t="s">
        <v>134</v>
      </c>
      <c r="B11" s="3">
        <v>1</v>
      </c>
      <c r="C11" s="11">
        <v>8.99</v>
      </c>
      <c r="D11" s="11">
        <f t="shared" si="0"/>
        <v>8.99</v>
      </c>
      <c r="E11" s="11"/>
      <c r="G11" t="s">
        <v>135</v>
      </c>
    </row>
    <row r="12" spans="1:7">
      <c r="A12" s="35" t="s">
        <v>136</v>
      </c>
      <c r="B12" s="3">
        <v>2</v>
      </c>
      <c r="C12" s="11">
        <v>13.99</v>
      </c>
      <c r="D12" s="11">
        <f t="shared" si="0"/>
        <v>27.98</v>
      </c>
      <c r="E12" s="11"/>
      <c r="G12" t="s">
        <v>137</v>
      </c>
    </row>
    <row r="13" spans="1:7">
      <c r="A13" s="36" t="s">
        <v>138</v>
      </c>
      <c r="B13" s="3">
        <v>1</v>
      </c>
      <c r="C13" s="13">
        <v>4.1900000000000004</v>
      </c>
      <c r="D13" s="11">
        <f t="shared" si="0"/>
        <v>4.1900000000000004</v>
      </c>
      <c r="E13" s="11"/>
      <c r="F13" t="s">
        <v>139</v>
      </c>
      <c r="G13" t="s">
        <v>140</v>
      </c>
    </row>
    <row r="14" spans="1:7">
      <c r="A14" s="36" t="s">
        <v>141</v>
      </c>
      <c r="B14" s="3">
        <v>1</v>
      </c>
      <c r="C14" s="13">
        <v>3</v>
      </c>
      <c r="D14" s="11">
        <f t="shared" si="0"/>
        <v>3</v>
      </c>
      <c r="E14" s="11"/>
      <c r="F14" t="s">
        <v>139</v>
      </c>
      <c r="G14" t="s">
        <v>142</v>
      </c>
    </row>
    <row r="15" spans="1:7">
      <c r="A15" s="36" t="s">
        <v>143</v>
      </c>
      <c r="B15" s="3">
        <v>1</v>
      </c>
      <c r="C15" s="13">
        <v>9.99</v>
      </c>
      <c r="D15" s="11">
        <f t="shared" si="0"/>
        <v>9.99</v>
      </c>
      <c r="E15" s="11"/>
      <c r="G15" t="s">
        <v>144</v>
      </c>
    </row>
    <row r="16" spans="1:7">
      <c r="A16" s="36"/>
      <c r="C16" s="13"/>
      <c r="D16" s="11"/>
      <c r="E16" s="11"/>
    </row>
    <row r="17" spans="1:7">
      <c r="A17" s="36"/>
      <c r="C17" s="13"/>
      <c r="D17" s="11"/>
      <c r="E17" s="11"/>
    </row>
    <row r="18" spans="1:7">
      <c r="A18" s="35" t="s">
        <v>145</v>
      </c>
      <c r="B18" s="7">
        <v>8</v>
      </c>
      <c r="C18" s="37">
        <v>3.8</v>
      </c>
      <c r="D18" s="11">
        <f>B18*C18</f>
        <v>30.4</v>
      </c>
      <c r="E18" s="17"/>
      <c r="G18" t="s">
        <v>146</v>
      </c>
    </row>
    <row r="19" spans="1:7">
      <c r="A19" s="35" t="s">
        <v>147</v>
      </c>
      <c r="B19" s="7">
        <v>4</v>
      </c>
      <c r="C19" s="37">
        <v>7.5</v>
      </c>
      <c r="D19" s="11">
        <f>B19*C19</f>
        <v>30</v>
      </c>
      <c r="E19" s="11"/>
      <c r="G19" t="s">
        <v>148</v>
      </c>
    </row>
    <row r="20" spans="1:7">
      <c r="A20" s="35" t="s">
        <v>149</v>
      </c>
      <c r="B20" s="7">
        <v>2</v>
      </c>
      <c r="C20" s="38">
        <v>2.87</v>
      </c>
      <c r="D20" s="11">
        <f>B20*C20</f>
        <v>5.74</v>
      </c>
      <c r="E20" s="11"/>
      <c r="G20" t="s">
        <v>150</v>
      </c>
    </row>
    <row r="21" spans="1:7">
      <c r="A21" s="35" t="s">
        <v>79</v>
      </c>
      <c r="B21" s="7">
        <v>8</v>
      </c>
      <c r="C21" s="38">
        <v>4.2</v>
      </c>
      <c r="D21" s="11">
        <f>B21*C21</f>
        <v>33.6</v>
      </c>
      <c r="E21" s="17"/>
      <c r="G21" t="s">
        <v>80</v>
      </c>
    </row>
    <row r="22" spans="1:7">
      <c r="A22" s="35" t="s">
        <v>93</v>
      </c>
      <c r="B22" s="7">
        <v>2</v>
      </c>
      <c r="C22" s="39">
        <v>20.55</v>
      </c>
      <c r="D22" s="11">
        <f>B22*C22</f>
        <v>41.1</v>
      </c>
      <c r="E22" s="11"/>
      <c r="G22" t="s">
        <v>94</v>
      </c>
    </row>
    <row r="23" spans="1:7">
      <c r="A23" s="35" t="s">
        <v>151</v>
      </c>
      <c r="B23" s="3">
        <v>28</v>
      </c>
      <c r="C23" s="13">
        <v>0.14000000000000001</v>
      </c>
      <c r="D23" s="11">
        <v>3.92</v>
      </c>
      <c r="E23" s="11"/>
      <c r="G23" t="s">
        <v>152</v>
      </c>
    </row>
    <row r="24" spans="1:7">
      <c r="A24" s="35" t="s">
        <v>153</v>
      </c>
      <c r="B24" s="3">
        <v>10</v>
      </c>
      <c r="C24" s="13">
        <v>0.25</v>
      </c>
      <c r="D24" s="11">
        <v>2.5</v>
      </c>
      <c r="E24" s="11"/>
      <c r="G24" t="s">
        <v>154</v>
      </c>
    </row>
    <row r="25" spans="1:7">
      <c r="A25" s="40" t="s">
        <v>155</v>
      </c>
      <c r="B25" s="3">
        <v>1</v>
      </c>
      <c r="C25" s="13">
        <v>0.53</v>
      </c>
      <c r="D25" s="11">
        <v>0.53</v>
      </c>
      <c r="E25" s="11"/>
      <c r="G25" t="s">
        <v>156</v>
      </c>
    </row>
    <row r="26" spans="1:7">
      <c r="A26" s="40" t="s">
        <v>45</v>
      </c>
      <c r="B26" s="3">
        <v>4</v>
      </c>
      <c r="C26" s="13">
        <v>0.14000000000000001</v>
      </c>
      <c r="D26" s="11">
        <v>0.56000000000000005</v>
      </c>
      <c r="E26" s="11"/>
      <c r="G26" t="s">
        <v>46</v>
      </c>
    </row>
    <row r="27" spans="1:7">
      <c r="A27" s="40" t="s">
        <v>40</v>
      </c>
      <c r="B27" s="3">
        <v>70</v>
      </c>
      <c r="C27" s="13">
        <v>0.11</v>
      </c>
      <c r="D27" s="11">
        <v>7.7</v>
      </c>
      <c r="E27" s="11"/>
      <c r="G27" t="s">
        <v>41</v>
      </c>
    </row>
    <row r="28" spans="1:7">
      <c r="A28" s="40"/>
      <c r="C28" s="13"/>
      <c r="D28" s="11"/>
      <c r="E28" s="11"/>
    </row>
    <row r="29" spans="1:7">
      <c r="A29" s="40"/>
      <c r="C29" s="13"/>
      <c r="D29" s="11"/>
      <c r="E29" s="11"/>
    </row>
    <row r="30" spans="1:7">
      <c r="A30" t="s">
        <v>62</v>
      </c>
      <c r="B30">
        <v>4</v>
      </c>
      <c r="C30">
        <v>75</v>
      </c>
      <c r="D30" s="11">
        <f>B30*C30</f>
        <v>300</v>
      </c>
      <c r="E30"/>
    </row>
    <row r="31" spans="1:7">
      <c r="B31"/>
      <c r="C31"/>
      <c r="D31" s="11"/>
      <c r="E31"/>
    </row>
    <row r="32" spans="1:7">
      <c r="A32" s="36"/>
      <c r="C32" s="13"/>
      <c r="D32" s="11"/>
      <c r="E32" s="11"/>
    </row>
    <row r="33" spans="1:63">
      <c r="A33" s="36"/>
      <c r="C33" s="13"/>
      <c r="D33" s="11"/>
      <c r="E33" s="11"/>
    </row>
    <row r="34" spans="1:63">
      <c r="A34" s="36"/>
      <c r="C34" s="13"/>
      <c r="D34" s="11"/>
      <c r="E34" s="11"/>
    </row>
    <row r="35" spans="1:63">
      <c r="C35"/>
      <c r="D35" s="11"/>
      <c r="E35"/>
    </row>
    <row r="36" spans="1:63">
      <c r="B36"/>
      <c r="C36"/>
      <c r="D36"/>
      <c r="E36"/>
    </row>
    <row r="37" spans="1:63" s="41" customFormat="1">
      <c r="A37" s="41" t="s">
        <v>157</v>
      </c>
      <c r="B37" s="42">
        <v>2</v>
      </c>
      <c r="C37" s="43"/>
      <c r="D37" s="43"/>
      <c r="E37" s="43"/>
      <c r="F37" s="44"/>
    </row>
    <row r="38" spans="1:63" s="41" customFormat="1">
      <c r="A38" s="44" t="s">
        <v>158</v>
      </c>
      <c r="B38" s="42">
        <v>6</v>
      </c>
      <c r="C38" s="42"/>
      <c r="D38" s="42"/>
      <c r="E38" s="42"/>
      <c r="F38" s="44"/>
    </row>
    <row r="39" spans="1:63" s="41" customFormat="1">
      <c r="A39" s="44" t="s">
        <v>159</v>
      </c>
      <c r="B39" s="42">
        <v>6</v>
      </c>
      <c r="C39" s="42"/>
      <c r="D39" s="42"/>
      <c r="E39" s="42"/>
      <c r="F39" s="44" t="s">
        <v>76</v>
      </c>
    </row>
    <row r="40" spans="1:63" s="41" customFormat="1">
      <c r="A40" s="41" t="s">
        <v>160</v>
      </c>
      <c r="B40" s="42">
        <v>14</v>
      </c>
      <c r="C40" s="42"/>
      <c r="D40" s="42"/>
      <c r="E40" s="42"/>
      <c r="F40" s="44"/>
    </row>
    <row r="41" spans="1:63">
      <c r="B41"/>
      <c r="C41"/>
      <c r="D41"/>
      <c r="E41"/>
    </row>
    <row r="42" spans="1:63">
      <c r="B42"/>
      <c r="C42"/>
      <c r="D42"/>
      <c r="E42"/>
    </row>
    <row r="43" spans="1:63">
      <c r="B43"/>
      <c r="C43"/>
      <c r="D43"/>
      <c r="E43"/>
    </row>
    <row r="44" spans="1:63">
      <c r="A44" s="24"/>
      <c r="B44" s="22"/>
      <c r="C44" s="22"/>
      <c r="D44" s="22"/>
      <c r="E44" s="22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</row>
    <row r="45" spans="1:63">
      <c r="A45" s="4"/>
      <c r="B45" s="6"/>
      <c r="C45" s="6"/>
      <c r="D45" s="32"/>
      <c r="E45" s="22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</row>
    <row r="46" spans="1:63">
      <c r="A46" s="4"/>
      <c r="B46" s="6"/>
      <c r="C46" s="6"/>
      <c r="D46" s="32"/>
      <c r="E46" s="22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</row>
    <row r="47" spans="1:63">
      <c r="A47" s="4"/>
      <c r="B47" s="6"/>
      <c r="C47" s="6"/>
      <c r="D47" s="32"/>
      <c r="E47" s="22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</row>
    <row r="48" spans="1:63">
      <c r="A48" s="4"/>
      <c r="B48" s="6"/>
      <c r="C48" s="6"/>
      <c r="D48" s="32"/>
      <c r="E48" s="32"/>
    </row>
    <row r="49" spans="1:6">
      <c r="A49" s="4"/>
      <c r="B49" s="6"/>
      <c r="C49" s="6" t="s">
        <v>161</v>
      </c>
      <c r="D49" s="32">
        <f>SUM(D4:D45)</f>
        <v>787.22</v>
      </c>
      <c r="E49" s="32"/>
      <c r="F49">
        <f>SUM(D18:D27)</f>
        <v>156.04999999999998</v>
      </c>
    </row>
    <row r="50" spans="1:6">
      <c r="A50" s="4"/>
      <c r="B50" s="6"/>
      <c r="C50" s="6"/>
      <c r="D50" s="6"/>
      <c r="E50" s="6"/>
    </row>
    <row r="51" spans="1:6">
      <c r="A51" s="4"/>
      <c r="B51" s="6"/>
      <c r="C51" s="6"/>
      <c r="D51" s="32"/>
      <c r="E51" s="32"/>
    </row>
    <row r="52" spans="1:6">
      <c r="A52" s="4"/>
      <c r="B52" s="6"/>
      <c r="C52" s="6"/>
      <c r="D52" s="32"/>
      <c r="E52" s="32"/>
    </row>
    <row r="55" spans="1:6" ht="15.75">
      <c r="A55" s="8"/>
    </row>
    <row r="56" spans="1:6">
      <c r="A56" s="35"/>
    </row>
    <row r="57" spans="1:6">
      <c r="A57" s="35"/>
    </row>
    <row r="58" spans="1:6">
      <c r="A58" s="35"/>
    </row>
    <row r="59" spans="1:6">
      <c r="A59" s="35"/>
    </row>
    <row r="60" spans="1:6">
      <c r="A60" s="35"/>
      <c r="D60" s="33"/>
    </row>
    <row r="61" spans="1:6">
      <c r="A61" s="35"/>
      <c r="D61" s="13"/>
    </row>
    <row r="62" spans="1:6">
      <c r="A62" s="35"/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BOM</vt:lpstr>
      <vt:lpstr>BOM_2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Kremer</cp:lastModifiedBy>
  <cp:revision>190</cp:revision>
  <dcterms:created xsi:type="dcterms:W3CDTF">2017-10-20T23:41:04Z</dcterms:created>
  <dcterms:modified xsi:type="dcterms:W3CDTF">2026-10-23T10:28:13Z</dcterms:modified>
</cp:coreProperties>
</file>