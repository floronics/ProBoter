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luisk\Documents\GitHub\ProBoter\bom\"/>
    </mc:Choice>
  </mc:AlternateContent>
  <xr:revisionPtr revIDLastSave="0" documentId="13_ncr:1_{861A9188-A319-445C-A1A1-400C35B37210}" xr6:coauthVersionLast="47" xr6:coauthVersionMax="47" xr10:uidLastSave="{00000000-0000-0000-0000-000000000000}"/>
  <bookViews>
    <workbookView xWindow="2490" yWindow="2040" windowWidth="27630" windowHeight="17745" xr2:uid="{00000000-000D-0000-FFFF-FFFF00000000}"/>
  </bookViews>
  <sheets>
    <sheet name="Alle Bauteile" sheetId="1" r:id="rId1"/>
    <sheet name="zu bestellen" sheetId="2" r:id="rId2"/>
    <sheet name="zu fertigen" sheetId="3" r:id="rId3"/>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5" i="2" l="1"/>
  <c r="C95" i="2"/>
  <c r="B95" i="2"/>
  <c r="D95" i="2" s="1"/>
  <c r="A95" i="2"/>
  <c r="E94" i="2"/>
  <c r="C94" i="2"/>
  <c r="B94" i="2"/>
  <c r="D94" i="2" s="1"/>
  <c r="A94" i="2"/>
  <c r="E93" i="2"/>
  <c r="C93" i="2"/>
  <c r="B93" i="2"/>
  <c r="D93" i="2" s="1"/>
  <c r="A93" i="2"/>
  <c r="E92" i="2"/>
  <c r="C92" i="2"/>
  <c r="B92" i="2"/>
  <c r="D92" i="2" s="1"/>
  <c r="A92" i="2"/>
  <c r="E91" i="2"/>
  <c r="C91" i="2"/>
  <c r="B91" i="2"/>
  <c r="D91" i="2" s="1"/>
  <c r="A91" i="2"/>
  <c r="E90" i="2"/>
  <c r="C90" i="2"/>
  <c r="B90" i="2"/>
  <c r="D90" i="2" s="1"/>
  <c r="A90" i="2"/>
  <c r="E89" i="2"/>
  <c r="C89" i="2"/>
  <c r="B89" i="2"/>
  <c r="D89" i="2" s="1"/>
  <c r="A89" i="2"/>
  <c r="E88" i="2"/>
  <c r="C88" i="2"/>
  <c r="B88" i="2"/>
  <c r="D88" i="2" s="1"/>
  <c r="A88" i="2"/>
  <c r="E84" i="2"/>
  <c r="B84" i="2"/>
  <c r="A84" i="2"/>
  <c r="E83" i="2"/>
  <c r="B83" i="2"/>
  <c r="A83" i="2"/>
  <c r="E79" i="2"/>
  <c r="C79" i="2"/>
  <c r="B79" i="2"/>
  <c r="D79" i="2" s="1"/>
  <c r="D80" i="2" s="1"/>
  <c r="A79" i="2"/>
  <c r="E75" i="2"/>
  <c r="C75" i="2"/>
  <c r="B75" i="2"/>
  <c r="D75" i="2" s="1"/>
  <c r="A75" i="2"/>
  <c r="E74" i="2"/>
  <c r="C74" i="2"/>
  <c r="B74" i="2"/>
  <c r="D74" i="2" s="1"/>
  <c r="A74" i="2"/>
  <c r="E73" i="2"/>
  <c r="C73" i="2"/>
  <c r="B73" i="2"/>
  <c r="D73" i="2" s="1"/>
  <c r="D76" i="2" s="1"/>
  <c r="A73" i="2"/>
  <c r="E69" i="2"/>
  <c r="C69" i="2"/>
  <c r="B69" i="2"/>
  <c r="D69" i="2" s="1"/>
  <c r="A69" i="2"/>
  <c r="E68" i="2"/>
  <c r="C68" i="2"/>
  <c r="B68" i="2"/>
  <c r="D68" i="2" s="1"/>
  <c r="D70" i="2" s="1"/>
  <c r="A68" i="2"/>
  <c r="E64" i="2"/>
  <c r="C64" i="2"/>
  <c r="B64" i="2"/>
  <c r="D64" i="2" s="1"/>
  <c r="A64" i="2"/>
  <c r="E63" i="2"/>
  <c r="C63" i="2"/>
  <c r="B63" i="2"/>
  <c r="D63" i="2" s="1"/>
  <c r="A63" i="2"/>
  <c r="E59" i="2"/>
  <c r="C59" i="2"/>
  <c r="B59" i="2"/>
  <c r="D59" i="2" s="1"/>
  <c r="A59" i="2"/>
  <c r="E58" i="2"/>
  <c r="C58" i="2"/>
  <c r="B58" i="2"/>
  <c r="D58" i="2" s="1"/>
  <c r="A58" i="2"/>
  <c r="E57" i="2"/>
  <c r="C57" i="2"/>
  <c r="B57" i="2"/>
  <c r="D57" i="2" s="1"/>
  <c r="A57" i="2"/>
  <c r="E56" i="2"/>
  <c r="C56" i="2"/>
  <c r="B56" i="2"/>
  <c r="D56" i="2" s="1"/>
  <c r="A56" i="2"/>
  <c r="E55" i="2"/>
  <c r="C55" i="2"/>
  <c r="B55" i="2"/>
  <c r="D55" i="2" s="1"/>
  <c r="A55" i="2"/>
  <c r="E54" i="2"/>
  <c r="C54" i="2"/>
  <c r="B54" i="2"/>
  <c r="D54" i="2" s="1"/>
  <c r="A54" i="2"/>
  <c r="E53" i="2"/>
  <c r="C53" i="2"/>
  <c r="B53" i="2"/>
  <c r="D53" i="2" s="1"/>
  <c r="A53" i="2"/>
  <c r="E52" i="2"/>
  <c r="C52" i="2"/>
  <c r="B52" i="2"/>
  <c r="D52" i="2" s="1"/>
  <c r="A52" i="2"/>
  <c r="E51" i="2"/>
  <c r="C51" i="2"/>
  <c r="B51" i="2"/>
  <c r="D51" i="2" s="1"/>
  <c r="A51" i="2"/>
  <c r="E50" i="2"/>
  <c r="C50" i="2"/>
  <c r="B50" i="2"/>
  <c r="D50" i="2" s="1"/>
  <c r="A50" i="2"/>
  <c r="E49" i="2"/>
  <c r="C49" i="2"/>
  <c r="B49" i="2"/>
  <c r="D49" i="2" s="1"/>
  <c r="A49" i="2"/>
  <c r="E48" i="2"/>
  <c r="C48" i="2"/>
  <c r="B48" i="2"/>
  <c r="D48" i="2" s="1"/>
  <c r="A48" i="2"/>
  <c r="E47" i="2"/>
  <c r="C47" i="2"/>
  <c r="B47" i="2"/>
  <c r="D47" i="2" s="1"/>
  <c r="A47" i="2"/>
  <c r="E46" i="2"/>
  <c r="C46" i="2"/>
  <c r="B46" i="2"/>
  <c r="D46" i="2" s="1"/>
  <c r="A46" i="2"/>
  <c r="E45" i="2"/>
  <c r="C45" i="2"/>
  <c r="B45" i="2"/>
  <c r="D45" i="2" s="1"/>
  <c r="A45" i="2"/>
  <c r="E44" i="2"/>
  <c r="C44" i="2"/>
  <c r="B44" i="2"/>
  <c r="D44" i="2" s="1"/>
  <c r="A44" i="2"/>
  <c r="E43" i="2"/>
  <c r="C43" i="2"/>
  <c r="B43" i="2"/>
  <c r="D43" i="2" s="1"/>
  <c r="A43" i="2"/>
  <c r="E42" i="2"/>
  <c r="C42" i="2"/>
  <c r="B42" i="2"/>
  <c r="D42" i="2" s="1"/>
  <c r="A42" i="2"/>
  <c r="E41" i="2"/>
  <c r="D41" i="2"/>
  <c r="C41" i="2"/>
  <c r="B41" i="2"/>
  <c r="A41" i="2"/>
  <c r="E40" i="2"/>
  <c r="C40" i="2"/>
  <c r="B40" i="2"/>
  <c r="D40" i="2" s="1"/>
  <c r="A40" i="2"/>
  <c r="E39" i="2"/>
  <c r="C39" i="2"/>
  <c r="B39" i="2"/>
  <c r="D39" i="2" s="1"/>
  <c r="A39" i="2"/>
  <c r="E38" i="2"/>
  <c r="C38" i="2"/>
  <c r="B38" i="2"/>
  <c r="D38" i="2" s="1"/>
  <c r="A38" i="2"/>
  <c r="E37" i="2"/>
  <c r="C37" i="2"/>
  <c r="B37" i="2"/>
  <c r="D37" i="2" s="1"/>
  <c r="A37" i="2"/>
  <c r="E36" i="2"/>
  <c r="C36" i="2"/>
  <c r="B36" i="2"/>
  <c r="D36" i="2" s="1"/>
  <c r="A36" i="2"/>
  <c r="E35" i="2"/>
  <c r="C35" i="2"/>
  <c r="B35" i="2"/>
  <c r="D35" i="2" s="1"/>
  <c r="A35" i="2"/>
  <c r="E34" i="2"/>
  <c r="C34" i="2"/>
  <c r="B34" i="2"/>
  <c r="D34" i="2" s="1"/>
  <c r="A34" i="2"/>
  <c r="E33" i="2"/>
  <c r="C33" i="2"/>
  <c r="B33" i="2"/>
  <c r="D33" i="2" s="1"/>
  <c r="A33" i="2"/>
  <c r="E32" i="2"/>
  <c r="C32" i="2"/>
  <c r="B32" i="2"/>
  <c r="D32" i="2" s="1"/>
  <c r="A32" i="2"/>
  <c r="E31" i="2"/>
  <c r="C31" i="2"/>
  <c r="B31" i="2"/>
  <c r="D31" i="2" s="1"/>
  <c r="A31" i="2"/>
  <c r="E30" i="2"/>
  <c r="C30" i="2"/>
  <c r="B30" i="2"/>
  <c r="D30" i="2" s="1"/>
  <c r="A30" i="2"/>
  <c r="E29" i="2"/>
  <c r="C29" i="2"/>
  <c r="B29" i="2"/>
  <c r="D29" i="2" s="1"/>
  <c r="A29" i="2"/>
  <c r="E28" i="2"/>
  <c r="C28" i="2"/>
  <c r="B28" i="2"/>
  <c r="D28" i="2" s="1"/>
  <c r="A28" i="2"/>
  <c r="E27" i="2"/>
  <c r="C27" i="2"/>
  <c r="B27" i="2"/>
  <c r="D27" i="2" s="1"/>
  <c r="A27" i="2"/>
  <c r="E26" i="2"/>
  <c r="C26" i="2"/>
  <c r="D26" i="2" s="1"/>
  <c r="B26" i="2"/>
  <c r="A26" i="2"/>
  <c r="E25" i="2"/>
  <c r="C25" i="2"/>
  <c r="B25" i="2"/>
  <c r="D25" i="2" s="1"/>
  <c r="A25" i="2"/>
  <c r="E24" i="2"/>
  <c r="C24" i="2"/>
  <c r="B24" i="2"/>
  <c r="D24" i="2" s="1"/>
  <c r="A24" i="2"/>
  <c r="E23" i="2"/>
  <c r="C23" i="2"/>
  <c r="B23" i="2"/>
  <c r="D23" i="2" s="1"/>
  <c r="A23" i="2"/>
  <c r="E22" i="2"/>
  <c r="C22" i="2"/>
  <c r="B22" i="2"/>
  <c r="D22" i="2" s="1"/>
  <c r="A22" i="2"/>
  <c r="E21" i="2"/>
  <c r="C21" i="2"/>
  <c r="B21" i="2"/>
  <c r="D21" i="2" s="1"/>
  <c r="A21" i="2"/>
  <c r="E20" i="2"/>
  <c r="C20" i="2"/>
  <c r="B20" i="2"/>
  <c r="D20" i="2" s="1"/>
  <c r="A20" i="2"/>
  <c r="E19" i="2"/>
  <c r="C19" i="2"/>
  <c r="B19" i="2"/>
  <c r="D19" i="2" s="1"/>
  <c r="A19" i="2"/>
  <c r="E18" i="2"/>
  <c r="B18" i="2"/>
  <c r="A18" i="2"/>
  <c r="E17" i="2"/>
  <c r="C17" i="2"/>
  <c r="B17" i="2"/>
  <c r="D17" i="2" s="1"/>
  <c r="A17" i="2"/>
  <c r="E16" i="2"/>
  <c r="C16" i="2"/>
  <c r="B16" i="2"/>
  <c r="D16" i="2" s="1"/>
  <c r="A16" i="2"/>
  <c r="E15" i="2"/>
  <c r="C15" i="2"/>
  <c r="B15" i="2"/>
  <c r="D15" i="2" s="1"/>
  <c r="A15" i="2"/>
  <c r="E14" i="2"/>
  <c r="C14" i="2"/>
  <c r="B14" i="2"/>
  <c r="D14" i="2" s="1"/>
  <c r="A14" i="2"/>
  <c r="E10" i="2"/>
  <c r="C10" i="2"/>
  <c r="B10" i="2"/>
  <c r="D10" i="2" s="1"/>
  <c r="A10" i="2"/>
  <c r="E9" i="2"/>
  <c r="C9" i="2"/>
  <c r="B9" i="2"/>
  <c r="D9" i="2" s="1"/>
  <c r="A9" i="2"/>
  <c r="E8" i="2"/>
  <c r="C8" i="2"/>
  <c r="B8" i="2"/>
  <c r="D8" i="2" s="1"/>
  <c r="A8" i="2"/>
  <c r="E7" i="2"/>
  <c r="C7" i="2"/>
  <c r="B7" i="2"/>
  <c r="D7" i="2" s="1"/>
  <c r="A7" i="2"/>
  <c r="E6" i="2"/>
  <c r="C6" i="2"/>
  <c r="B6" i="2"/>
  <c r="D6" i="2" s="1"/>
  <c r="A6" i="2"/>
  <c r="H142" i="1"/>
  <c r="E142" i="1"/>
  <c r="H141" i="1"/>
  <c r="E141" i="1"/>
  <c r="H140" i="1"/>
  <c r="E140" i="1"/>
  <c r="H139" i="1"/>
  <c r="E139" i="1"/>
  <c r="H138" i="1"/>
  <c r="E138" i="1"/>
  <c r="H137" i="1"/>
  <c r="E137" i="1"/>
  <c r="H136" i="1"/>
  <c r="E136" i="1"/>
  <c r="H135" i="1"/>
  <c r="E135" i="1"/>
  <c r="H134" i="1"/>
  <c r="E134" i="1"/>
  <c r="H133" i="1"/>
  <c r="E133" i="1"/>
  <c r="H132" i="1"/>
  <c r="E132" i="1"/>
  <c r="E147" i="1" s="1"/>
  <c r="H131" i="1"/>
  <c r="E131" i="1"/>
  <c r="H130" i="1"/>
  <c r="E130" i="1"/>
  <c r="H129" i="1"/>
  <c r="E129" i="1"/>
  <c r="H128" i="1"/>
  <c r="E128" i="1"/>
  <c r="H127" i="1"/>
  <c r="E127" i="1"/>
  <c r="H126" i="1"/>
  <c r="E126" i="1"/>
  <c r="H125" i="1"/>
  <c r="E125" i="1"/>
  <c r="H124" i="1"/>
  <c r="E124" i="1"/>
  <c r="H123" i="1"/>
  <c r="E123" i="1"/>
  <c r="H122" i="1"/>
  <c r="E122" i="1"/>
  <c r="H121" i="1"/>
  <c r="E121" i="1"/>
  <c r="H120" i="1"/>
  <c r="E120" i="1"/>
  <c r="H119" i="1"/>
  <c r="E119" i="1"/>
  <c r="H118" i="1"/>
  <c r="E118" i="1"/>
  <c r="H117" i="1"/>
  <c r="E117" i="1"/>
  <c r="H116" i="1"/>
  <c r="E116" i="1"/>
  <c r="H113" i="1"/>
  <c r="E113" i="1"/>
  <c r="H112" i="1"/>
  <c r="E112" i="1"/>
  <c r="H109" i="1"/>
  <c r="E109" i="1"/>
  <c r="H108" i="1"/>
  <c r="E108" i="1"/>
  <c r="H107" i="1"/>
  <c r="E107" i="1"/>
  <c r="H106" i="1"/>
  <c r="E106" i="1"/>
  <c r="H105" i="1"/>
  <c r="E105" i="1"/>
  <c r="H104" i="1"/>
  <c r="E104" i="1"/>
  <c r="H103" i="1"/>
  <c r="E103" i="1"/>
  <c r="H102" i="1"/>
  <c r="E102" i="1"/>
  <c r="H101" i="1"/>
  <c r="E101" i="1"/>
  <c r="H100" i="1"/>
  <c r="E100" i="1"/>
  <c r="H99" i="1"/>
  <c r="E99" i="1"/>
  <c r="H98" i="1"/>
  <c r="E98" i="1"/>
  <c r="H97" i="1"/>
  <c r="E97" i="1"/>
  <c r="H96" i="1"/>
  <c r="D96" i="1"/>
  <c r="H95" i="1"/>
  <c r="D95" i="1"/>
  <c r="H94" i="1"/>
  <c r="E94" i="1"/>
  <c r="H93" i="1"/>
  <c r="E93" i="1"/>
  <c r="H92" i="1"/>
  <c r="E92" i="1"/>
  <c r="H91" i="1"/>
  <c r="E91" i="1"/>
  <c r="H90" i="1"/>
  <c r="E90" i="1"/>
  <c r="H89" i="1"/>
  <c r="E89" i="1"/>
  <c r="H86" i="1"/>
  <c r="E86" i="1"/>
  <c r="H85" i="1"/>
  <c r="E85" i="1"/>
  <c r="H84" i="1"/>
  <c r="E84" i="1"/>
  <c r="H83" i="1"/>
  <c r="E83" i="1"/>
  <c r="H82" i="1"/>
  <c r="E82" i="1"/>
  <c r="H81" i="1"/>
  <c r="E81" i="1"/>
  <c r="H78" i="1"/>
  <c r="E78" i="1"/>
  <c r="H77" i="1"/>
  <c r="E77" i="1"/>
  <c r="H76" i="1"/>
  <c r="E76" i="1"/>
  <c r="H75" i="1"/>
  <c r="E75" i="1"/>
  <c r="H74" i="1"/>
  <c r="E74" i="1"/>
  <c r="H73" i="1"/>
  <c r="E73" i="1"/>
  <c r="H72" i="1"/>
  <c r="E72" i="1"/>
  <c r="H71" i="1"/>
  <c r="E71" i="1"/>
  <c r="H70" i="1"/>
  <c r="E70" i="1"/>
  <c r="H69" i="1"/>
  <c r="E69" i="1"/>
  <c r="H68" i="1"/>
  <c r="E68" i="1"/>
  <c r="H67" i="1"/>
  <c r="E67" i="1"/>
  <c r="H66" i="1"/>
  <c r="E66" i="1"/>
  <c r="H65" i="1"/>
  <c r="E65" i="1"/>
  <c r="H64" i="1"/>
  <c r="E64" i="1"/>
  <c r="H61" i="1"/>
  <c r="E61" i="1"/>
  <c r="H60" i="1"/>
  <c r="E60" i="1"/>
  <c r="H59" i="1"/>
  <c r="E59" i="1"/>
  <c r="H58" i="1"/>
  <c r="E58" i="1"/>
  <c r="H57" i="1"/>
  <c r="E57" i="1"/>
  <c r="H56" i="1"/>
  <c r="E56" i="1"/>
  <c r="H55" i="1"/>
  <c r="E55" i="1"/>
  <c r="H54" i="1"/>
  <c r="E54" i="1"/>
  <c r="H53" i="1"/>
  <c r="E53" i="1"/>
  <c r="H52" i="1"/>
  <c r="E52" i="1"/>
  <c r="H51" i="1"/>
  <c r="E51" i="1"/>
  <c r="H50" i="1"/>
  <c r="E50" i="1"/>
  <c r="H49" i="1"/>
  <c r="E49" i="1"/>
  <c r="H48" i="1"/>
  <c r="E48" i="1"/>
  <c r="H47" i="1"/>
  <c r="E47" i="1"/>
  <c r="H46" i="1"/>
  <c r="E46" i="1"/>
  <c r="H45" i="1"/>
  <c r="E45" i="1"/>
  <c r="H42" i="1"/>
  <c r="E42" i="1"/>
  <c r="H41" i="1"/>
  <c r="E41" i="1"/>
  <c r="H40" i="1"/>
  <c r="E40" i="1"/>
  <c r="H39" i="1"/>
  <c r="E39" i="1"/>
  <c r="H38" i="1"/>
  <c r="E38" i="1"/>
  <c r="H35" i="1"/>
  <c r="E35" i="1"/>
  <c r="H34" i="1"/>
  <c r="E34" i="1"/>
  <c r="H33" i="1"/>
  <c r="E33" i="1"/>
  <c r="H32" i="1"/>
  <c r="E32" i="1"/>
  <c r="H31" i="1"/>
  <c r="E31" i="1"/>
  <c r="H30" i="1"/>
  <c r="E30" i="1"/>
  <c r="H29" i="1"/>
  <c r="E29" i="1"/>
  <c r="H28" i="1"/>
  <c r="E28" i="1"/>
  <c r="H27" i="1"/>
  <c r="E27" i="1"/>
  <c r="H26" i="1"/>
  <c r="E26" i="1"/>
  <c r="H25" i="1"/>
  <c r="E25" i="1"/>
  <c r="H24" i="1"/>
  <c r="E24" i="1"/>
  <c r="H23" i="1"/>
  <c r="E23" i="1"/>
  <c r="H22" i="1"/>
  <c r="E22" i="1"/>
  <c r="H21" i="1"/>
  <c r="E21" i="1"/>
  <c r="H20" i="1"/>
  <c r="E20" i="1"/>
  <c r="H19" i="1"/>
  <c r="E19" i="1"/>
  <c r="H18" i="1"/>
  <c r="E18" i="1"/>
  <c r="H17" i="1"/>
  <c r="E17" i="1"/>
  <c r="H16" i="1"/>
  <c r="E16" i="1"/>
  <c r="H15" i="1"/>
  <c r="E15" i="1"/>
  <c r="H14" i="1"/>
  <c r="E14" i="1"/>
  <c r="H13" i="1"/>
  <c r="E13" i="1"/>
  <c r="H12" i="1"/>
  <c r="E12" i="1"/>
  <c r="H11" i="1"/>
  <c r="E11" i="1"/>
  <c r="H10" i="1"/>
  <c r="D10" i="1"/>
  <c r="H9" i="1"/>
  <c r="E9" i="1"/>
  <c r="H8" i="1"/>
  <c r="E8" i="1"/>
  <c r="H7" i="1"/>
  <c r="E7" i="1"/>
  <c r="H6" i="1"/>
  <c r="E6" i="1"/>
  <c r="C84" i="2" l="1"/>
  <c r="D84" i="2" s="1"/>
  <c r="E96" i="1"/>
  <c r="C83" i="2"/>
  <c r="D83" i="2" s="1"/>
  <c r="E95" i="1"/>
  <c r="E146" i="1" s="1"/>
  <c r="E10" i="1"/>
  <c r="E145" i="1" s="1"/>
  <c r="C18" i="2"/>
  <c r="D18" i="2" s="1"/>
  <c r="D60" i="2" s="1"/>
  <c r="D96" i="2"/>
  <c r="D65" i="2"/>
  <c r="D11" i="2"/>
  <c r="E149" i="1" l="1"/>
  <c r="E150" i="1" s="1"/>
  <c r="E152" i="1"/>
  <c r="E153" i="1" s="1"/>
  <c r="D85" i="2"/>
  <c r="D98" i="2" s="1"/>
</calcChain>
</file>

<file path=xl/sharedStrings.xml><?xml version="1.0" encoding="utf-8"?>
<sst xmlns="http://schemas.openxmlformats.org/spreadsheetml/2006/main" count="807" uniqueCount="283">
  <si>
    <t>Alle Bauteile ProBoter</t>
  </si>
  <si>
    <t>Teil</t>
  </si>
  <si>
    <t>Shop / Fertigung</t>
  </si>
  <si>
    <t>Menge</t>
  </si>
  <si>
    <t>Einzelpreis inkl. MwSt. (€)</t>
  </si>
  <si>
    <t>Gesamt inkl. MwSt. (€)</t>
  </si>
  <si>
    <t>je Probe</t>
  </si>
  <si>
    <t>Link</t>
  </si>
  <si>
    <t>Status</t>
  </si>
  <si>
    <t>Gestell (einmalig)</t>
  </si>
  <si>
    <t>Gelenkfuß M6x20, Teller 40mm mit Ant-Slip-Platte</t>
  </si>
  <si>
    <t>DOLD</t>
  </si>
  <si>
    <t>https://www.dold-mechatronik.de/Gelenkfuss-Reihe-10-PA-Gewindestange-mit-Kugel-10mm-M6x20-Schluesselweite-10-Teller-40mm-mit-Anti-Slip-Platte-40-d385</t>
  </si>
  <si>
    <t>Winkel 30 I-Typ inkl. Befestigungssatz</t>
  </si>
  <si>
    <t>https://www.dold-mechatronik.de/Winkel-30-I-Typ-Nut-6-inkl-Befestigungssatz-und-Abdeckkappe</t>
  </si>
  <si>
    <t>Bügelgriff 100mm mit Befestigungsbohrungen</t>
  </si>
  <si>
    <t>https://www.dold-mechatronik.de/Buegelgriff-100mm-mit-Befestigungsbohrungen</t>
  </si>
  <si>
    <t>Teleskopschienen Vollauszug 45 kg, 350 mm (1 Paar), DOLD HS-4613-350</t>
  </si>
  <si>
    <t>https://www.dold-mechatronik.de/Vollauszug-45kg-350mm-(1-Paar-Teleskopschienen)</t>
  </si>
  <si>
    <t>Aluprofil I-Typ 80x16S Nut 8, 650 mm (Energieketten-Halter)</t>
  </si>
  <si>
    <t>https://www.dold-mechatronik.de/Aluminiumprofil-80x16S-I-Typ-Nut-8-schwer-22kg-m-Zuschnitt-50-6000mm</t>
  </si>
  <si>
    <t>Aluprofil I-Typ 30x60x650</t>
  </si>
  <si>
    <t>https://www.dold-mechatronik.de/Aluminiumprofil-30x60L-I-Typ-Nut-6-ZUSCHNITT-bis-1200-mm-1700-EUR-m-030-EUR-pro-Schnitt</t>
  </si>
  <si>
    <t>Aluprofil I-Typ 30x30x350</t>
  </si>
  <si>
    <t>https://www.dold-mechatronik.de/Aluminiumprofil-30x30L-I-Typ-Nut-6-ZUSCHNITT-bis-1200-mm-850-EUR-m-025-EUR-pro-Schnitt</t>
  </si>
  <si>
    <t>Aluprofil I-Typ 30x30x590</t>
  </si>
  <si>
    <t>Aluprofil I-Typ 30x30x564</t>
  </si>
  <si>
    <t>Schubladenplatte</t>
  </si>
  <si>
    <t>Werkstatt</t>
  </si>
  <si>
    <t>siehe Blatt „zu fertigen“</t>
  </si>
  <si>
    <t>Motorplatte, Stahl gelasert, 5mm</t>
  </si>
  <si>
    <t>Profilschienenführung, MR12, 600mm, Edelstahl</t>
  </si>
  <si>
    <t>https://www.dold-mechatronik.de/Linearfuehrung-MR-12-M-Edelstahl-600mm</t>
  </si>
  <si>
    <t>Übersichtskamera ELP 8MP USB-Kameramodul IMX179, 75° ohne Verzerrung</t>
  </si>
  <si>
    <t>Amazon</t>
  </si>
  <si>
    <t>https://www.amazon.de/dp/B07FXBW81G</t>
  </si>
  <si>
    <t>Teller 40 für Gelenkstellfuß Kugel 10 mm, Kunststoff (Ersatz)</t>
  </si>
  <si>
    <t>https://www.dold-mechatronik.de/Teller-40-fuer-Gelenkstellfuss-Kugel-10mm-Kunststoff</t>
  </si>
  <si>
    <t>Rückwand base_back_plate</t>
  </si>
  <si>
    <t>3D-Druck: base_drag_chain_holder (untere 2 Energieketten-Halter)</t>
  </si>
  <si>
    <t>3D-Druck (eigen)</t>
  </si>
  <si>
    <t>3D-Druck: base_plate_adapter_1</t>
  </si>
  <si>
    <t>3D-Druck: base_plate_adapter_2</t>
  </si>
  <si>
    <t>3D-Druck: base_plate_adapter_left</t>
  </si>
  <si>
    <t>3D-Druck: base_plate_adapter_right</t>
  </si>
  <si>
    <t>3D-Druck: base_cable_holder_m3_flat</t>
  </si>
  <si>
    <t>3D-Druck: base_cable_holder_m4</t>
  </si>
  <si>
    <t>3D-Druck: base_cable_holder_m5_flat</t>
  </si>
  <si>
    <t>3D-Druck: cable_cover</t>
  </si>
  <si>
    <t>3D-Druck: camera_holder (Übersichtskamera)</t>
  </si>
  <si>
    <t>3D-Druck: camera_holder_top</t>
  </si>
  <si>
    <t>3D-Druck: pcb_holder_glider (PCB-Halter)</t>
  </si>
  <si>
    <t>3D-Druck: pcb_holder_guiding_holder_round_d10</t>
  </si>
  <si>
    <t>3D-Druck: pcb_holder_rod_short_round_d10</t>
  </si>
  <si>
    <t>3D-Druck: pcb_holder_rod_short_round_d10_mirrored</t>
  </si>
  <si>
    <t>X-Antrieb (je Probe)</t>
  </si>
  <si>
    <t>Schrittmotor NEMA 14 – StepperOnline 14HS13-0804S</t>
  </si>
  <si>
    <t>StepperOnline</t>
  </si>
  <si>
    <t>x</t>
  </si>
  <si>
    <t>https://www.omc-stepperonline.com/de/nema-14-bipolar-1-8deg-18ncm-25-5oz-in-0-8a-5-74v-35x35x34mm-4-draehte-14hs13-0804s</t>
  </si>
  <si>
    <t>Endschalter induktiv M8, LJ8A3-2-Z/BX (NPN, Schließer, 2 mm)</t>
  </si>
  <si>
    <t>https://www.amazon.de/Induktive-N%C3%A4herungsschalter-LJ8-A3-2-z-BX-Normalerweise/dp/B072Q68493/</t>
  </si>
  <si>
    <t>3D-Druck: base_nema_14_to_17_adapter (X-Motor)</t>
  </si>
  <si>
    <t>3D-Druck: belt_tightener_GT2_base (X-Riemenspanner)</t>
  </si>
  <si>
    <t>3D-Druck: belt_tightener_GT2_wing (X-Riemenspanner)</t>
  </si>
  <si>
    <t>X-Schlitten inkl. Y-Antrieb / Führung (je Probe)</t>
  </si>
  <si>
    <t>Linearwagen MR12 MN-SS-V0-N</t>
  </si>
  <si>
    <t>Motedis</t>
  </si>
  <si>
    <t>https://www.motedis.com/shop/Dynamik-Lineareinheiten/Profilschienenfuehrungen-fuer-die-Linearbewegung/Profilschienenfuehrungen/Fuehrungswagen-Miniatur-MR12MN-SS-V0-N::6097.html</t>
  </si>
  <si>
    <t>Aluprofil 40x16S I-Typ, 436mm</t>
  </si>
  <si>
    <t>https://www.dold-mechatronik.de/Aluminiumprofil-40x16S-I-Typ-Nut-8-ZUSCHNITT-bis-1200-mm-1050-EUR-m-025-EUR-pro-Schnitt</t>
  </si>
  <si>
    <t>Seitenplatten, Stahl, gelasert, 5mm</t>
  </si>
  <si>
    <t>Wellenhalter Flansch SHF10, D10</t>
  </si>
  <si>
    <t>https://www.dold-mechatronik.de/Wellenhalter-Flansch-SHF-Ausfuehrung-waehlbar</t>
  </si>
  <si>
    <t>Präzisionswelle D10, 450mm mit M6 Gewinde</t>
  </si>
  <si>
    <t>https://www.dold-mechatronik.de/Praezisionswelle-10mm-h6-geschliffen-gehaertet-450mm-mit-Gewindebohrungen-M5x20</t>
  </si>
  <si>
    <t>3D-Druck: base_nema_14_to_17_adapter (Y-Motor)</t>
  </si>
  <si>
    <t>3D-Druck: belt_tightener_GT2_base (Y-Riemenspanner)</t>
  </si>
  <si>
    <t>3D-Druck: belt_tightener_GT2_wing (Y-Riemenspanner)</t>
  </si>
  <si>
    <t>3D-Druck: x_belt_holder</t>
  </si>
  <si>
    <t>3D-Druck: x_belt_holder_1</t>
  </si>
  <si>
    <t>3D-Druck: x_drag_chain_adapter</t>
  </si>
  <si>
    <t>3D-Druck: x_end_stop_holder_side_short</t>
  </si>
  <si>
    <t>3D-Druck: x_end_stop_holder_top_long</t>
  </si>
  <si>
    <t>3D-Druck: x_slide_inductive_endstop_adapter</t>
  </si>
  <si>
    <t>3D-Druck: x_slide_inductive_endstop_adapter_mirrored</t>
  </si>
  <si>
    <t>Y-Schlitten mit Z-Antrieb / Führung (je Probe)</t>
  </si>
  <si>
    <t>Vollkunststoffgleitlager RJMP DryLin igus, D10</t>
  </si>
  <si>
    <t>https://www.dold-mechatronik.de/Vollkunststofflager-RJMP-01-10-DryLinZ-von-igusZ</t>
  </si>
  <si>
    <t>Sicherungsring Bohrung DIN 472, D22</t>
  </si>
  <si>
    <t>https://www.dold-mechatronik.de/DIN-472-Form-I-Sicherungsring-fuer-Bohrungen-Stahl-blank-I22</t>
  </si>
  <si>
    <t>Zahnriemenrad GT2 6mm, 16 Zähne, Bohrung 5 mm (X, Y, Z)</t>
  </si>
  <si>
    <t>https://www.dold-mechatronik.de/Zahnriemenrad-GT2-6mm-breit-16-Zaehne-Bohrung-500mm-H7-mit-Klemmschrauben</t>
  </si>
  <si>
    <t>Umlenkrolle GT2 6mm, 16 Zähne, mit Kugellager, Bohrung 3 mm (X, Y, Z)</t>
  </si>
  <si>
    <t>https://www.dold-mechatronik.de/Umlenkrolle-Zahnriemenrad-mit-Kugellager-GT2-6mm-breit-16-Zaehne-Bohrung-300mm</t>
  </si>
  <si>
    <t>Zahnriemen GT2, 6 mm breit, je 1 Meter (X, Y, Z)</t>
  </si>
  <si>
    <t>https://www.dold-mechatronik.de/Zahnriemen-GT2-Breite-6mm-Laenge-1-Meter</t>
  </si>
  <si>
    <t>6 Stück optische Endstops mit Kabel</t>
  </si>
  <si>
    <t>https://www.amazon.de/gp/product/B07PX8ZFXN/ref=ox_sc_act_title_2?smid=AS8JK4HNTE2NO&amp;psc=1</t>
  </si>
  <si>
    <t>USB-Mikroskop Toolcraft 2 MP, 20–200× (Ø33 × 110 mm)</t>
  </si>
  <si>
    <t>Voelkner</t>
  </si>
  <si>
    <t>https://www.voelkner.de/products/1177903/TOOLCRAFT-USB-Mikroskop-2-Megapixel-Digitale-Vergroesserung-max.-200-x.html</t>
  </si>
  <si>
    <t>3D-Druck: y_slide bzw. y_slide_mirrored (2 Proben normal, 2 gespiegelt)</t>
  </si>
  <si>
    <t>3D-Druck: y_slide_top bzw. y_slide_mirrored_top</t>
  </si>
  <si>
    <t>3D-Druck: y_camera_holder bzw. y_camera_holder_compact</t>
  </si>
  <si>
    <t>3D-Druck: y_slide_distance_tube_2mm</t>
  </si>
  <si>
    <t>3D-Druck: TR10x2_GT2_belt_adapter</t>
  </si>
  <si>
    <t>3D-Druck: TR10x2_GT2_belt_adapter_cover</t>
  </si>
  <si>
    <t>Z-Schlitten (je Probe)</t>
  </si>
  <si>
    <t>Profilschienenführung, MR12, 150mm, Edelstahl</t>
  </si>
  <si>
    <t>https://www.dold-mechatronik.de/Linearfuehrung-MR-12-M-Edelstahl-150mm</t>
  </si>
  <si>
    <t>Probespitze</t>
  </si>
  <si>
    <t>?</t>
  </si>
  <si>
    <t>3D-Druck: z_probe_tip_pcb_holder bzw. z_probe_tip_pcb_holder_long</t>
  </si>
  <si>
    <t>3D-Druck: z_slide_end_stop_trigger bzw. _mirrored</t>
  </si>
  <si>
    <t>3D-Druck: z_slide_cable_holder</t>
  </si>
  <si>
    <t>3D-Druck: z_drive_belt_holder_v3</t>
  </si>
  <si>
    <t>Elektronik</t>
  </si>
  <si>
    <t>BIGTREETECH SKR V1.4 Turbo Mainboard (ohne Schrittmotortreiber)</t>
  </si>
  <si>
    <t>Roboter-Bausatz</t>
  </si>
  <si>
    <t>https://www.roboter-bausatz.de/p/btt-skr-1.4-turbo-32-bit-mainboard</t>
  </si>
  <si>
    <t>BTT TMC2130 V3.0 SPI Schrittmotortreiber</t>
  </si>
  <si>
    <t>https://www.roboter-bausatz.de/p/btt-tmc2130-v3.0-spi-schrittmotortreiber</t>
  </si>
  <si>
    <t>Schaltnetzteil Mean Well SDR-240-24, Hutschiene, 24 V / 10 A / 240 W</t>
  </si>
  <si>
    <t>https://www.dold-mechatronik.de/Switching-power-supply-DIN-rail-240-W-24-V-10-A</t>
  </si>
  <si>
    <t>Schukokabel</t>
  </si>
  <si>
    <t>Kabel Probe</t>
  </si>
  <si>
    <t>Gehäuse für Elektronik</t>
  </si>
  <si>
    <t>Energiekette igus E2i.10.20.028.0 (X), 14 Glieder = 0,28 m, inkl. Anschlussset E2.100.20.34PZ.A2</t>
  </si>
  <si>
    <t>igus</t>
  </si>
  <si>
    <t>https://www.igus.de/product/series-E2i-10?artnr=E2I.10.20.028.0</t>
  </si>
  <si>
    <t>Energiekette igus E2i.10.10.028.0 (Y), 12 Glieder = 0,24 m, inkl. Anschlussset E2.100.10.34PZ.A2</t>
  </si>
  <si>
    <t>https://www.igus.de/product/series-E2i-10?artnr=E2i.10.10.028.0</t>
  </si>
  <si>
    <t>Kabel für Endschalter</t>
  </si>
  <si>
    <t>Motorkabel</t>
  </si>
  <si>
    <t>USB-Hub</t>
  </si>
  <si>
    <t>https://www.amazon.de/Anker-Datenhub-Ultrabooks-weiteren-kompatiblen/dp/B00Y211AFM/</t>
  </si>
  <si>
    <t>Multiplexerboard (signal-multiplexer, Gerber 1.1)</t>
  </si>
  <si>
    <t>JLCPCB</t>
  </si>
  <si>
    <t>Probing-Board (probe_tip_pcb)</t>
  </si>
  <si>
    <t>3D-Druck: signal_multiplexer_holder</t>
  </si>
  <si>
    <t>3D-Druck: power_switch_holder</t>
  </si>
  <si>
    <t>3D-Druck: target_power_switch (Gehäuse)</t>
  </si>
  <si>
    <t>3D-Druck: target_power_switch_top</t>
  </si>
  <si>
    <t>3D-Druck: base_raspberry_pi_4_adapter</t>
  </si>
  <si>
    <t>3D-Druck: base_drawer_power_plug_socket</t>
  </si>
  <si>
    <t>3D-Druck: drawer_drag_chain_holder</t>
  </si>
  <si>
    <t>3D-Druck: base_drawer_drag_chain_holder</t>
  </si>
  <si>
    <t>Hilfsmittel (einmalig)</t>
  </si>
  <si>
    <t>3D-Druck: calibration_plate_v4 (Kalibrierplatte)</t>
  </si>
  <si>
    <t>3D-Druck: utils_height_leveling_probe_holder</t>
  </si>
  <si>
    <t>Schrauben, Muttern &amp; Kleinteile (Menge für Vollausbau)</t>
  </si>
  <si>
    <t>DIN 912 (ISO 4762) Zylinderschraube M3x8, A2</t>
  </si>
  <si>
    <t>https://www.dold-mechatronik.de/DIN-912-Zylinderschraube-mit-Innensechskant,-Edelstahl-A2</t>
  </si>
  <si>
    <t>DIN 912 (ISO 4762) Zylinderschraube M3x10, A2</t>
  </si>
  <si>
    <t>DIN 912 (ISO 4762) Zylinderschraube M3x12, A2</t>
  </si>
  <si>
    <t>DIN 912 (ISO 4762) Zylinderschraube M3x14, A2</t>
  </si>
  <si>
    <t>DIN 912 (ISO 4762) Zylinderschraube M3x16, A2</t>
  </si>
  <si>
    <t>DIN 912 (ISO 4762) Zylinderschraube M3x18, A2</t>
  </si>
  <si>
    <t>DIN 912 (ISO 4762) Zylinderschraube M3x20, A2</t>
  </si>
  <si>
    <t>DIN 912 (ISO 4762) Zylinderschraube M3x30, A2</t>
  </si>
  <si>
    <t>DIN 912 (ISO 4762) Zylinderschraube M4x10, A2</t>
  </si>
  <si>
    <t>DIN 912 (ISO 4762) Zylinderschraube M4x20, A2</t>
  </si>
  <si>
    <t>DIN 912 (ISO 4762) Zylinderschraube M4x30, A2</t>
  </si>
  <si>
    <t>DIN 912 (ISO 4762) Zylinderschraube M5x10, A2</t>
  </si>
  <si>
    <t>DIN 912 (ISO 4762) Zylinderschraube M5x14, 8.8 verzinkt</t>
  </si>
  <si>
    <t>https://www.dold-mechatronik.de/DIN-912-Zylinderschraube-mit-Innensechskant-8.8-verzinkt</t>
  </si>
  <si>
    <t>DIN 7991 (ISO 10642) Senkschraube M3x8, A2</t>
  </si>
  <si>
    <t>https://www.dold-mechatronik.de/DIN-7991-Senkschraube-mit-Innensechskant,-Edelstahl-A2</t>
  </si>
  <si>
    <t>DIN 7991 (ISO 10642) Senkschraube M6x12, A2</t>
  </si>
  <si>
    <t>DIN 7991 (ISO 10642) Senkschraube M6x14, A2</t>
  </si>
  <si>
    <t>DIN 7991 (ISO 10642) Senkschraube M6x20, A2</t>
  </si>
  <si>
    <t>DIN 933 (ISO 4017) Sechskantschraube M4x20, A2</t>
  </si>
  <si>
    <t>https://www.dold-mechatronik.de/DIN-933-A2-Edelstahl-Sechskantschraube-mit-Gewinde-bis-Kopf.-Ausfuehrung-waehlbar</t>
  </si>
  <si>
    <t>DIN 934 (ISO 4032) Sechskantmutter M3, verzinkt</t>
  </si>
  <si>
    <t>https://www.dold-mechatronik.de/DIN-934-Sechskantmutter-.8-verzinkt-M4x07</t>
  </si>
  <si>
    <t>DIN 934 (ISO 4032) Sechskantmutter M4, verzinkt</t>
  </si>
  <si>
    <t>DIN 934 (ISO 4032) Sechskantmutter M8, A2</t>
  </si>
  <si>
    <t>https://www.dold-mechatronik.de/Sechskantmutter-DIN-934-ISO-4032-M8-Edelstahl-A2</t>
  </si>
  <si>
    <t>DIN 466 Rändelmutter hoch M4</t>
  </si>
  <si>
    <t>https://www.dold-mechatronik.de/Hohe-Raendelmutter-Material-und-Groesse-waehlbar-NEU</t>
  </si>
  <si>
    <t>DIN 562 Vierkantmutter flach M3</t>
  </si>
  <si>
    <t>DIN 562 Vierkantmutter flach M4</t>
  </si>
  <si>
    <t>Nutenstein Nut6, M5</t>
  </si>
  <si>
    <t>https://www.dold-mechatronik.de/Nutenstein-mit-Steg-I-Typ-Nut-6-Gewindedurchmesser-M5</t>
  </si>
  <si>
    <t>Nutenstein Nut6, M3</t>
  </si>
  <si>
    <t>https://www.dold-mechatronik.de/Nutenstein-mit-Steg-I-Typ-Nut-6-Gewindedurchmesser-M3</t>
  </si>
  <si>
    <t>Unterlegscheiben M5</t>
  </si>
  <si>
    <t>https://www.dold-mechatronik.de/DIN-125-Form-A-Unterlegscheibe-Stahl-verzinkt-d53mm-D10mm</t>
  </si>
  <si>
    <t>Einmalig (Gestell, zentrale Elektronik, Hilfsmittel) inkl. MwSt.</t>
  </si>
  <si>
    <t>je Probe inkl. MwSt.</t>
  </si>
  <si>
    <t>Schrauben, Muttern &amp; Kleinteile (Vollausbau) inkl. MwSt.</t>
  </si>
  <si>
    <t>Prototyp = Einmalig + 1 × Probe + Schrauben inkl. MwSt.</t>
  </si>
  <si>
    <t>Prototyp exkl. MwSt.</t>
  </si>
  <si>
    <t>Vollausbau = Einmalig + 4 × Probe + Schrauben inkl. MwSt.</t>
  </si>
  <si>
    <t>Vollausbau exkl. MwSt.</t>
  </si>
  <si>
    <t>Orange = Menge oder Link fehlt noch. Preise für 3D-Druck, Werkstatt und JLCPCB noch offen.</t>
  </si>
  <si>
    <t>Status wird in „zu bestellen“ bzw. „zu fertigen“ per Auswahl gepflegt und hier automatisch angezeigt.</t>
  </si>
  <si>
    <t>zu bestellen – nach Shop (Mengen für Vollausbau, 4 Proben)</t>
  </si>
  <si>
    <t>Menge Vollausbau</t>
  </si>
  <si>
    <t>identifiziert</t>
  </si>
  <si>
    <t>Summe Amazon</t>
  </si>
  <si>
    <t>Summe DOLD</t>
  </si>
  <si>
    <t>Summe Motedis</t>
  </si>
  <si>
    <t>Summe Roboter-Bausatz</t>
  </si>
  <si>
    <t>Summe StepperOnline</t>
  </si>
  <si>
    <t>Summe Voelkner</t>
  </si>
  <si>
    <t>Summe igus</t>
  </si>
  <si>
    <t>ohne Shop (noch offen)</t>
  </si>
  <si>
    <t>Summe ohne Shop (noch offen)</t>
  </si>
  <si>
    <t>Gesamt Vollausbau inkl. MwSt.</t>
  </si>
  <si>
    <t>Teil, Menge, Preis und Link kommen aus „Alle Bauteile“. Status hier per Auswahl pflegen: identifiziert → bestellt → geliefert → verbaut.</t>
  </si>
  <si>
    <t>zu fertigen – 3D-Druck, Werkstatt, Leiterplatten (Mengen für Vollausbau, 4 Proben)</t>
  </si>
  <si>
    <t>Fertigung</t>
  </si>
  <si>
    <t>Anzahl</t>
  </si>
  <si>
    <t>Material</t>
  </si>
  <si>
    <t>Einbauort</t>
  </si>
  <si>
    <t>3D-Druck</t>
  </si>
  <si>
    <t>base_drag_chain_holder (untere 2 Energieketten-Halter)</t>
  </si>
  <si>
    <t>PETG</t>
  </si>
  <si>
    <t>Gestell</t>
  </si>
  <si>
    <t>base_plate_adapter_1</t>
  </si>
  <si>
    <t>base_plate_adapter_2</t>
  </si>
  <si>
    <t>base_plate_adapter_left</t>
  </si>
  <si>
    <t>base_plate_adapter_right</t>
  </si>
  <si>
    <t>base_cable_holder_m3_flat</t>
  </si>
  <si>
    <t>base_cable_holder_m4</t>
  </si>
  <si>
    <t>base_cable_holder_m5_flat</t>
  </si>
  <si>
    <t>cable_cover</t>
  </si>
  <si>
    <t>camera_holder (Übersichtskamera)</t>
  </si>
  <si>
    <t>camera_holder_top</t>
  </si>
  <si>
    <t>pcb_holder_glider (PCB-Halter)</t>
  </si>
  <si>
    <t>pcb_holder_guiding_holder_round_d10</t>
  </si>
  <si>
    <t>pcb_holder_rod_short_round_d10</t>
  </si>
  <si>
    <t>pcb_holder_rod_short_round_d10_mirrored</t>
  </si>
  <si>
    <t>base_nema_14_to_17_adapter (X-Motor)</t>
  </si>
  <si>
    <t>X-Antrieb</t>
  </si>
  <si>
    <t>belt_tightener_GT2_base (X-Riemenspanner)</t>
  </si>
  <si>
    <t>belt_tightener_GT2_wing (X-Riemenspanner)</t>
  </si>
  <si>
    <t>base_nema_14_to_17_adapter (Y-Motor)</t>
  </si>
  <si>
    <t>X-Schlitten inkl. Y-Antrieb / Führung</t>
  </si>
  <si>
    <t>belt_tightener_GT2_base (Y-Riemenspanner)</t>
  </si>
  <si>
    <t>belt_tightener_GT2_wing (Y-Riemenspanner)</t>
  </si>
  <si>
    <t>x_belt_holder</t>
  </si>
  <si>
    <t>x_belt_holder_1</t>
  </si>
  <si>
    <t>x_drag_chain_adapter</t>
  </si>
  <si>
    <t>x_end_stop_holder_side_short</t>
  </si>
  <si>
    <t>x_end_stop_holder_top_long</t>
  </si>
  <si>
    <t>x_slide_inductive_endstop_adapter</t>
  </si>
  <si>
    <t>x_slide_inductive_endstop_adapter_mirrored</t>
  </si>
  <si>
    <t>y_slide bzw. y_slide_mirrored (2 Proben normal, 2 gespiegelt)</t>
  </si>
  <si>
    <t>Y-Schlitten mit Z-Antrieb / Führung</t>
  </si>
  <si>
    <t>y_slide_top bzw. y_slide_mirrored_top</t>
  </si>
  <si>
    <t>y_camera_holder bzw. y_camera_holder_compact</t>
  </si>
  <si>
    <t>y_slide_distance_tube_2mm</t>
  </si>
  <si>
    <t>TR10x2_GT2_belt_adapter</t>
  </si>
  <si>
    <t>TR10x2_GT2_belt_adapter_cover</t>
  </si>
  <si>
    <t>z_probe_tip_pcb_holder bzw. z_probe_tip_pcb_holder_long</t>
  </si>
  <si>
    <t>Z-Schlitten</t>
  </si>
  <si>
    <t>z_slide_end_stop_trigger bzw. _mirrored</t>
  </si>
  <si>
    <t>z_slide_cable_holder</t>
  </si>
  <si>
    <t>z_drive_belt_holder_v3</t>
  </si>
  <si>
    <t>signal_multiplexer_holder</t>
  </si>
  <si>
    <t>power_switch_holder</t>
  </si>
  <si>
    <t>target_power_switch (Gehäuse)</t>
  </si>
  <si>
    <t>target_power_switch_top</t>
  </si>
  <si>
    <t>base_raspberry_pi_4_adapter</t>
  </si>
  <si>
    <t>base_drawer_power_plug_socket</t>
  </si>
  <si>
    <t>drawer_drag_chain_holder</t>
  </si>
  <si>
    <t>base_drawer_drag_chain_holder</t>
  </si>
  <si>
    <t>calibration_plate_v4 (Kalibrierplatte)</t>
  </si>
  <si>
    <t>Hilfsmittel</t>
  </si>
  <si>
    <t>utils_height_leveling_probe_holder</t>
  </si>
  <si>
    <t>Stahl, 5 mm</t>
  </si>
  <si>
    <t>Bearbeitung: Aluprofil 80x16S Energieketten-Halter, 20 × M3-Gewinde je Profil</t>
  </si>
  <si>
    <t>Alu (DOLD 60886-Z, gekauft)</t>
  </si>
  <si>
    <t>Bearbeitung: x_slide_stiffener_beam (Aluprofil 40x16S, 436 mm) nach Zeichnung</t>
  </si>
  <si>
    <t>Alu (DOLD 60879-Z, gekauft)</t>
  </si>
  <si>
    <t>X-Schlitten</t>
  </si>
  <si>
    <t>Leiterplatten (JLCPCB)</t>
  </si>
  <si>
    <t>FR4, bestückt</t>
  </si>
  <si>
    <t>FR4</t>
  </si>
  <si>
    <t>Orange = Anzahl oder Material fehlt noch. Status: identifiziert → in Fertigung → gefertigt → verbaut.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</si>
</sst>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ont>
    <font>
      <b/>
      <sz val="11"/>
      <name val="Calibri"/>
    </font>
    <font>
      <i/>
      <sz val="11"/>
      <name val="Calibri"/>
    </font>
  </fonts>
  <fills count="3">
    <fill>
      <patternFill patternType="none"/>
    </fill>
    <fill>
      <patternFill patternType="gray125"/>
    </fill>
    <fill>
      <patternFill patternType="solid">
        <fgColor rgb="FFFFC000"/>
      </patternFill>
    </fill>
  </fills>
  <borders count="2">
    <border>
      <left/>
      <right/>
      <top/>
      <bottom/>
      <diagonal/>
    </border>
    <border>
      <left/>
      <right/>
      <top/>
      <bottom style="thin">
        <color rgb="FFBFBFBF"/>
      </bottom>
      <diagonal/>
    </border>
  </borders>
  <cellStyleXfs count="1">
    <xf numFmtId="0" fontId="0" fillId="0" borderId="0"/>
  </cellStyleXfs>
  <cellXfs count="10">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0" fillId="0" borderId="0" xfId="0" applyAlignment="1">
      <alignment vertical="top"/>
    </xf>
    <xf numFmtId="0" fontId="2" fillId="0" borderId="0" xfId="0" applyFont="1" applyAlignment="1">
      <alignment vertical="top" wrapText="1"/>
    </xf>
    <xf numFmtId="4" fontId="0" fillId="0" borderId="0" xfId="0" applyNumberFormat="1" applyAlignment="1">
      <alignment vertical="top"/>
    </xf>
    <xf numFmtId="0" fontId="0" fillId="2" borderId="0" xfId="0" applyFill="1" applyAlignment="1">
      <alignment vertical="top"/>
    </xf>
    <xf numFmtId="0" fontId="3" fillId="0" borderId="0" xfId="0" applyFont="1" applyAlignment="1">
      <alignment vertical="top" wrapText="1"/>
    </xf>
    <xf numFmtId="4" fontId="2" fillId="0" borderId="0" xfId="0" applyNumberFormat="1" applyFont="1" applyAlignment="1">
      <alignment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6"/>
  <sheetViews>
    <sheetView tabSelected="1" workbookViewId="0">
      <pane ySplit="3" topLeftCell="A4" activePane="bottomLeft" state="frozen"/>
      <selection pane="bottomLeft" activeCell="H6" sqref="H6"/>
    </sheetView>
  </sheetViews>
  <sheetFormatPr baseColWidth="10" defaultColWidth="9.140625" defaultRowHeight="15" x14ac:dyDescent="0.25"/>
  <cols>
    <col min="1" max="1" width="66" customWidth="1"/>
    <col min="2" max="2" width="18" customWidth="1"/>
    <col min="3" max="3" width="8" customWidth="1"/>
    <col min="4" max="5" width="14" customWidth="1"/>
    <col min="6" max="6" width="9" customWidth="1"/>
    <col min="7" max="7" width="70" customWidth="1"/>
    <col min="8" max="8" width="14" customWidth="1"/>
  </cols>
  <sheetData>
    <row r="1" spans="1:8" ht="18.75" x14ac:dyDescent="0.3">
      <c r="A1" s="1" t="s">
        <v>0</v>
      </c>
    </row>
    <row r="3" spans="1:8" x14ac:dyDescent="0.25">
      <c r="A3" s="2" t="s">
        <v>1</v>
      </c>
      <c r="B3" s="2" t="s">
        <v>2</v>
      </c>
      <c r="C3" s="2" t="s">
        <v>3</v>
      </c>
      <c r="D3" s="2" t="s">
        <v>4</v>
      </c>
      <c r="E3" s="2" t="s">
        <v>5</v>
      </c>
      <c r="F3" s="2" t="s">
        <v>6</v>
      </c>
      <c r="G3" s="2" t="s">
        <v>7</v>
      </c>
      <c r="H3" s="2" t="s">
        <v>8</v>
      </c>
    </row>
    <row r="4" spans="1:8" x14ac:dyDescent="0.25">
      <c r="A4" s="3"/>
      <c r="B4" s="4"/>
      <c r="C4" s="4"/>
      <c r="D4" s="4"/>
      <c r="E4" s="4"/>
      <c r="F4" s="4"/>
      <c r="G4" s="4"/>
      <c r="H4" s="4"/>
    </row>
    <row r="5" spans="1:8" x14ac:dyDescent="0.25">
      <c r="A5" s="5" t="s">
        <v>9</v>
      </c>
      <c r="B5" s="4"/>
      <c r="C5" s="4"/>
      <c r="D5" s="4"/>
      <c r="E5" s="4"/>
      <c r="F5" s="4"/>
      <c r="G5" s="4"/>
      <c r="H5" s="4"/>
    </row>
    <row r="6" spans="1:8" x14ac:dyDescent="0.25">
      <c r="A6" s="3" t="s">
        <v>10</v>
      </c>
      <c r="B6" s="4" t="s">
        <v>11</v>
      </c>
      <c r="C6" s="4">
        <v>4</v>
      </c>
      <c r="D6" s="6">
        <v>1.83</v>
      </c>
      <c r="E6" s="6">
        <f t="shared" ref="E6:E35" si="0">IF(AND(ISNUMBER(C6),ISNUMBER(D6)),C6*D6,0)</f>
        <v>7.32</v>
      </c>
      <c r="F6" s="4"/>
      <c r="G6" s="4" t="s">
        <v>12</v>
      </c>
      <c r="H6" s="4" t="str">
        <f>IF('zu bestellen'!F14="","",'zu bestellen'!F14)</f>
        <v>identifiziert</v>
      </c>
    </row>
    <row r="7" spans="1:8" x14ac:dyDescent="0.25">
      <c r="A7" s="3" t="s">
        <v>13</v>
      </c>
      <c r="B7" s="4" t="s">
        <v>11</v>
      </c>
      <c r="C7" s="4">
        <v>22</v>
      </c>
      <c r="D7" s="6">
        <v>1.91</v>
      </c>
      <c r="E7" s="6">
        <f t="shared" si="0"/>
        <v>42.019999999999996</v>
      </c>
      <c r="F7" s="4"/>
      <c r="G7" s="4" t="s">
        <v>14</v>
      </c>
      <c r="H7" s="4" t="str">
        <f>IF('zu bestellen'!F15="","",'zu bestellen'!F15)</f>
        <v>identifiziert</v>
      </c>
    </row>
    <row r="8" spans="1:8" x14ac:dyDescent="0.25">
      <c r="A8" s="3" t="s">
        <v>15</v>
      </c>
      <c r="B8" s="4" t="s">
        <v>11</v>
      </c>
      <c r="C8" s="4">
        <v>1</v>
      </c>
      <c r="D8" s="6">
        <v>8.51</v>
      </c>
      <c r="E8" s="6">
        <f t="shared" si="0"/>
        <v>8.51</v>
      </c>
      <c r="F8" s="4"/>
      <c r="G8" s="4" t="s">
        <v>16</v>
      </c>
      <c r="H8" s="4" t="str">
        <f>IF('zu bestellen'!F16="","",'zu bestellen'!F16)</f>
        <v>identifiziert</v>
      </c>
    </row>
    <row r="9" spans="1:8" x14ac:dyDescent="0.25">
      <c r="A9" s="3" t="s">
        <v>17</v>
      </c>
      <c r="B9" s="4" t="s">
        <v>11</v>
      </c>
      <c r="C9" s="4">
        <v>1</v>
      </c>
      <c r="D9" s="6">
        <v>10.84</v>
      </c>
      <c r="E9" s="6">
        <f t="shared" si="0"/>
        <v>10.84</v>
      </c>
      <c r="F9" s="4"/>
      <c r="G9" s="4" t="s">
        <v>18</v>
      </c>
      <c r="H9" s="4" t="str">
        <f>IF('zu bestellen'!F17="","",'zu bestellen'!F17)</f>
        <v>identifiziert</v>
      </c>
    </row>
    <row r="10" spans="1:8" x14ac:dyDescent="0.25">
      <c r="A10" s="3" t="s">
        <v>19</v>
      </c>
      <c r="B10" s="4" t="s">
        <v>11</v>
      </c>
      <c r="C10" s="4">
        <v>2</v>
      </c>
      <c r="D10" s="6">
        <f>0.65*28+0.5</f>
        <v>18.7</v>
      </c>
      <c r="E10" s="6">
        <f t="shared" si="0"/>
        <v>37.4</v>
      </c>
      <c r="F10" s="4"/>
      <c r="G10" s="4" t="s">
        <v>20</v>
      </c>
      <c r="H10" s="4" t="str">
        <f>IF('zu bestellen'!F18="","",'zu bestellen'!F18)</f>
        <v>identifiziert</v>
      </c>
    </row>
    <row r="11" spans="1:8" x14ac:dyDescent="0.25">
      <c r="A11" s="3" t="s">
        <v>21</v>
      </c>
      <c r="B11" s="4" t="s">
        <v>11</v>
      </c>
      <c r="C11" s="4">
        <v>2</v>
      </c>
      <c r="D11" s="6">
        <v>11.35</v>
      </c>
      <c r="E11" s="6">
        <f t="shared" si="0"/>
        <v>22.7</v>
      </c>
      <c r="F11" s="4"/>
      <c r="G11" s="4" t="s">
        <v>22</v>
      </c>
      <c r="H11" s="4" t="str">
        <f>IF('zu bestellen'!F19="","",'zu bestellen'!F19)</f>
        <v>identifiziert</v>
      </c>
    </row>
    <row r="12" spans="1:8" x14ac:dyDescent="0.25">
      <c r="A12" s="3" t="s">
        <v>23</v>
      </c>
      <c r="B12" s="4" t="s">
        <v>11</v>
      </c>
      <c r="C12" s="4">
        <v>10</v>
      </c>
      <c r="D12" s="6">
        <v>3.23</v>
      </c>
      <c r="E12" s="6">
        <f t="shared" si="0"/>
        <v>32.299999999999997</v>
      </c>
      <c r="F12" s="4"/>
      <c r="G12" s="4" t="s">
        <v>24</v>
      </c>
      <c r="H12" s="4" t="str">
        <f>IF('zu bestellen'!F20="","",'zu bestellen'!F20)</f>
        <v>identifiziert</v>
      </c>
    </row>
    <row r="13" spans="1:8" x14ac:dyDescent="0.25">
      <c r="A13" s="3" t="s">
        <v>25</v>
      </c>
      <c r="B13" s="4" t="s">
        <v>11</v>
      </c>
      <c r="C13" s="4">
        <v>3</v>
      </c>
      <c r="D13" s="6">
        <v>5.27</v>
      </c>
      <c r="E13" s="6">
        <f t="shared" si="0"/>
        <v>15.809999999999999</v>
      </c>
      <c r="F13" s="4"/>
      <c r="G13" s="4" t="s">
        <v>24</v>
      </c>
      <c r="H13" s="4" t="str">
        <f>IF('zu bestellen'!F21="","",'zu bestellen'!F21)</f>
        <v>identifiziert</v>
      </c>
    </row>
    <row r="14" spans="1:8" x14ac:dyDescent="0.25">
      <c r="A14" s="3" t="s">
        <v>26</v>
      </c>
      <c r="B14" s="4" t="s">
        <v>11</v>
      </c>
      <c r="C14" s="4">
        <v>2</v>
      </c>
      <c r="D14" s="6">
        <v>5.04</v>
      </c>
      <c r="E14" s="6">
        <f t="shared" si="0"/>
        <v>10.08</v>
      </c>
      <c r="F14" s="4"/>
      <c r="G14" s="4" t="s">
        <v>24</v>
      </c>
      <c r="H14" s="4" t="str">
        <f>IF('zu bestellen'!F22="","",'zu bestellen'!F22)</f>
        <v>identifiziert</v>
      </c>
    </row>
    <row r="15" spans="1:8" x14ac:dyDescent="0.25">
      <c r="A15" s="3" t="s">
        <v>27</v>
      </c>
      <c r="B15" s="4" t="s">
        <v>28</v>
      </c>
      <c r="C15" s="4">
        <v>1</v>
      </c>
      <c r="D15" s="6">
        <v>10</v>
      </c>
      <c r="E15" s="6">
        <f t="shared" si="0"/>
        <v>10</v>
      </c>
      <c r="F15" s="4"/>
      <c r="G15" s="4" t="s">
        <v>29</v>
      </c>
      <c r="H15" s="4" t="str">
        <f>IF('zu fertigen'!F56="","",'zu fertigen'!F56)</f>
        <v>identifiziert</v>
      </c>
    </row>
    <row r="16" spans="1:8" x14ac:dyDescent="0.25">
      <c r="A16" s="3" t="s">
        <v>30</v>
      </c>
      <c r="B16" s="4" t="s">
        <v>28</v>
      </c>
      <c r="C16" s="4">
        <v>2</v>
      </c>
      <c r="D16" s="6">
        <v>80</v>
      </c>
      <c r="E16" s="6">
        <f t="shared" si="0"/>
        <v>160</v>
      </c>
      <c r="F16" s="4"/>
      <c r="G16" s="4" t="s">
        <v>29</v>
      </c>
      <c r="H16" s="4" t="str">
        <f>IF('zu fertigen'!F57="","",'zu fertigen'!F57)</f>
        <v>identifiziert</v>
      </c>
    </row>
    <row r="17" spans="1:8" x14ac:dyDescent="0.25">
      <c r="A17" s="3" t="s">
        <v>31</v>
      </c>
      <c r="B17" s="4" t="s">
        <v>11</v>
      </c>
      <c r="C17" s="4">
        <v>2</v>
      </c>
      <c r="D17" s="6">
        <v>82.2</v>
      </c>
      <c r="E17" s="6">
        <f t="shared" si="0"/>
        <v>164.4</v>
      </c>
      <c r="F17" s="4"/>
      <c r="G17" s="4" t="s">
        <v>32</v>
      </c>
      <c r="H17" s="4" t="str">
        <f>IF('zu bestellen'!F23="","",'zu bestellen'!F23)</f>
        <v>identifiziert</v>
      </c>
    </row>
    <row r="18" spans="1:8" ht="30" x14ac:dyDescent="0.25">
      <c r="A18" s="3" t="s">
        <v>33</v>
      </c>
      <c r="B18" s="4" t="s">
        <v>34</v>
      </c>
      <c r="C18" s="4">
        <v>1</v>
      </c>
      <c r="D18" s="6">
        <v>63</v>
      </c>
      <c r="E18" s="6">
        <f t="shared" si="0"/>
        <v>63</v>
      </c>
      <c r="F18" s="4"/>
      <c r="G18" s="4" t="s">
        <v>35</v>
      </c>
      <c r="H18" s="4" t="str">
        <f>IF('zu bestellen'!F6="","",'zu bestellen'!F6)</f>
        <v>identifiziert</v>
      </c>
    </row>
    <row r="19" spans="1:8" x14ac:dyDescent="0.25">
      <c r="A19" s="3" t="s">
        <v>36</v>
      </c>
      <c r="B19" s="4" t="s">
        <v>11</v>
      </c>
      <c r="C19" s="4">
        <v>1</v>
      </c>
      <c r="D19" s="6">
        <v>0.53</v>
      </c>
      <c r="E19" s="6">
        <f t="shared" si="0"/>
        <v>0.53</v>
      </c>
      <c r="F19" s="4"/>
      <c r="G19" s="4" t="s">
        <v>37</v>
      </c>
      <c r="H19" s="4" t="str">
        <f>IF('zu bestellen'!F24="","",'zu bestellen'!F24)</f>
        <v>identifiziert</v>
      </c>
    </row>
    <row r="20" spans="1:8" x14ac:dyDescent="0.25">
      <c r="A20" s="3" t="s">
        <v>38</v>
      </c>
      <c r="B20" s="4" t="s">
        <v>28</v>
      </c>
      <c r="C20" s="4">
        <v>1</v>
      </c>
      <c r="D20" s="6"/>
      <c r="E20" s="6">
        <f t="shared" si="0"/>
        <v>0</v>
      </c>
      <c r="F20" s="4"/>
      <c r="G20" s="4" t="s">
        <v>29</v>
      </c>
      <c r="H20" s="4" t="str">
        <f>IF('zu fertigen'!F58="","",'zu fertigen'!F58)</f>
        <v>identifiziert</v>
      </c>
    </row>
    <row r="21" spans="1:8" x14ac:dyDescent="0.25">
      <c r="A21" s="3" t="s">
        <v>39</v>
      </c>
      <c r="B21" s="4" t="s">
        <v>40</v>
      </c>
      <c r="C21" s="4">
        <v>2</v>
      </c>
      <c r="D21" s="6"/>
      <c r="E21" s="6">
        <f t="shared" si="0"/>
        <v>0</v>
      </c>
      <c r="F21" s="4"/>
      <c r="G21" s="4" t="s">
        <v>29</v>
      </c>
      <c r="H21" s="4" t="str">
        <f>IF('zu fertigen'!F6="","",'zu fertigen'!F6)</f>
        <v>identifiziert</v>
      </c>
    </row>
    <row r="22" spans="1:8" x14ac:dyDescent="0.25">
      <c r="A22" s="3" t="s">
        <v>41</v>
      </c>
      <c r="B22" s="4" t="s">
        <v>40</v>
      </c>
      <c r="C22" s="4">
        <v>2</v>
      </c>
      <c r="D22" s="6"/>
      <c r="E22" s="6">
        <f t="shared" si="0"/>
        <v>0</v>
      </c>
      <c r="F22" s="4"/>
      <c r="G22" s="4" t="s">
        <v>29</v>
      </c>
      <c r="H22" s="4" t="str">
        <f>IF('zu fertigen'!F7="","",'zu fertigen'!F7)</f>
        <v>identifiziert</v>
      </c>
    </row>
    <row r="23" spans="1:8" x14ac:dyDescent="0.25">
      <c r="A23" s="3" t="s">
        <v>42</v>
      </c>
      <c r="B23" s="4" t="s">
        <v>40</v>
      </c>
      <c r="C23" s="4">
        <v>2</v>
      </c>
      <c r="D23" s="6"/>
      <c r="E23" s="6">
        <f t="shared" si="0"/>
        <v>0</v>
      </c>
      <c r="F23" s="4"/>
      <c r="G23" s="4" t="s">
        <v>29</v>
      </c>
      <c r="H23" s="4" t="str">
        <f>IF('zu fertigen'!F8="","",'zu fertigen'!F8)</f>
        <v>identifiziert</v>
      </c>
    </row>
    <row r="24" spans="1:8" x14ac:dyDescent="0.25">
      <c r="A24" s="3" t="s">
        <v>43</v>
      </c>
      <c r="B24" s="4" t="s">
        <v>40</v>
      </c>
      <c r="C24" s="4">
        <v>2</v>
      </c>
      <c r="D24" s="6"/>
      <c r="E24" s="6">
        <f t="shared" si="0"/>
        <v>0</v>
      </c>
      <c r="F24" s="4"/>
      <c r="G24" s="4" t="s">
        <v>29</v>
      </c>
      <c r="H24" s="4" t="str">
        <f>IF('zu fertigen'!F9="","",'zu fertigen'!F9)</f>
        <v>identifiziert</v>
      </c>
    </row>
    <row r="25" spans="1:8" x14ac:dyDescent="0.25">
      <c r="A25" s="3" t="s">
        <v>44</v>
      </c>
      <c r="B25" s="4" t="s">
        <v>40</v>
      </c>
      <c r="C25" s="4">
        <v>2</v>
      </c>
      <c r="D25" s="6"/>
      <c r="E25" s="6">
        <f t="shared" si="0"/>
        <v>0</v>
      </c>
      <c r="F25" s="4"/>
      <c r="G25" s="4" t="s">
        <v>29</v>
      </c>
      <c r="H25" s="4" t="str">
        <f>IF('zu fertigen'!F10="","",'zu fertigen'!F10)</f>
        <v>identifiziert</v>
      </c>
    </row>
    <row r="26" spans="1:8" x14ac:dyDescent="0.25">
      <c r="A26" s="3" t="s">
        <v>45</v>
      </c>
      <c r="B26" s="4" t="s">
        <v>40</v>
      </c>
      <c r="C26" s="4">
        <v>2</v>
      </c>
      <c r="D26" s="6"/>
      <c r="E26" s="6">
        <f t="shared" si="0"/>
        <v>0</v>
      </c>
      <c r="F26" s="4"/>
      <c r="G26" s="4" t="s">
        <v>29</v>
      </c>
      <c r="H26" s="4" t="str">
        <f>IF('zu fertigen'!F11="","",'zu fertigen'!F11)</f>
        <v>identifiziert</v>
      </c>
    </row>
    <row r="27" spans="1:8" x14ac:dyDescent="0.25">
      <c r="A27" s="3" t="s">
        <v>46</v>
      </c>
      <c r="B27" s="4" t="s">
        <v>40</v>
      </c>
      <c r="C27" s="4">
        <v>1</v>
      </c>
      <c r="D27" s="6"/>
      <c r="E27" s="6">
        <f t="shared" si="0"/>
        <v>0</v>
      </c>
      <c r="F27" s="4"/>
      <c r="G27" s="4" t="s">
        <v>29</v>
      </c>
      <c r="H27" s="4" t="str">
        <f>IF('zu fertigen'!F12="","",'zu fertigen'!F12)</f>
        <v>identifiziert</v>
      </c>
    </row>
    <row r="28" spans="1:8" x14ac:dyDescent="0.25">
      <c r="A28" s="3" t="s">
        <v>47</v>
      </c>
      <c r="B28" s="4" t="s">
        <v>40</v>
      </c>
      <c r="C28" s="4">
        <v>4</v>
      </c>
      <c r="D28" s="6"/>
      <c r="E28" s="6">
        <f t="shared" si="0"/>
        <v>0</v>
      </c>
      <c r="F28" s="4"/>
      <c r="G28" s="4" t="s">
        <v>29</v>
      </c>
      <c r="H28" s="4" t="str">
        <f>IF('zu fertigen'!F13="","",'zu fertigen'!F13)</f>
        <v>identifiziert</v>
      </c>
    </row>
    <row r="29" spans="1:8" x14ac:dyDescent="0.25">
      <c r="A29" s="3" t="s">
        <v>48</v>
      </c>
      <c r="B29" s="4" t="s">
        <v>40</v>
      </c>
      <c r="C29" s="4">
        <v>4</v>
      </c>
      <c r="D29" s="6"/>
      <c r="E29" s="6">
        <f t="shared" si="0"/>
        <v>0</v>
      </c>
      <c r="F29" s="4"/>
      <c r="G29" s="4" t="s">
        <v>29</v>
      </c>
      <c r="H29" s="4" t="str">
        <f>IF('zu fertigen'!F14="","",'zu fertigen'!F14)</f>
        <v>identifiziert</v>
      </c>
    </row>
    <row r="30" spans="1:8" x14ac:dyDescent="0.25">
      <c r="A30" s="3" t="s">
        <v>49</v>
      </c>
      <c r="B30" s="4" t="s">
        <v>40</v>
      </c>
      <c r="C30" s="4">
        <v>1</v>
      </c>
      <c r="D30" s="6"/>
      <c r="E30" s="6">
        <f t="shared" si="0"/>
        <v>0</v>
      </c>
      <c r="F30" s="4"/>
      <c r="G30" s="4" t="s">
        <v>29</v>
      </c>
      <c r="H30" s="4" t="str">
        <f>IF('zu fertigen'!F15="","",'zu fertigen'!F15)</f>
        <v>identifiziert</v>
      </c>
    </row>
    <row r="31" spans="1:8" x14ac:dyDescent="0.25">
      <c r="A31" s="3" t="s">
        <v>50</v>
      </c>
      <c r="B31" s="4" t="s">
        <v>40</v>
      </c>
      <c r="C31" s="4">
        <v>1</v>
      </c>
      <c r="D31" s="6"/>
      <c r="E31" s="6">
        <f t="shared" si="0"/>
        <v>0</v>
      </c>
      <c r="F31" s="4"/>
      <c r="G31" s="4" t="s">
        <v>29</v>
      </c>
      <c r="H31" s="4" t="str">
        <f>IF('zu fertigen'!F16="","",'zu fertigen'!F16)</f>
        <v>identifiziert</v>
      </c>
    </row>
    <row r="32" spans="1:8" x14ac:dyDescent="0.25">
      <c r="A32" s="3" t="s">
        <v>51</v>
      </c>
      <c r="B32" s="4" t="s">
        <v>40</v>
      </c>
      <c r="C32" s="4">
        <v>4</v>
      </c>
      <c r="D32" s="6"/>
      <c r="E32" s="6">
        <f t="shared" si="0"/>
        <v>0</v>
      </c>
      <c r="F32" s="4"/>
      <c r="G32" s="4" t="s">
        <v>29</v>
      </c>
      <c r="H32" s="4" t="str">
        <f>IF('zu fertigen'!F17="","",'zu fertigen'!F17)</f>
        <v>identifiziert</v>
      </c>
    </row>
    <row r="33" spans="1:8" x14ac:dyDescent="0.25">
      <c r="A33" s="3" t="s">
        <v>52</v>
      </c>
      <c r="B33" s="4" t="s">
        <v>40</v>
      </c>
      <c r="C33" s="4">
        <v>4</v>
      </c>
      <c r="D33" s="6"/>
      <c r="E33" s="6">
        <f t="shared" si="0"/>
        <v>0</v>
      </c>
      <c r="F33" s="4"/>
      <c r="G33" s="4" t="s">
        <v>29</v>
      </c>
      <c r="H33" s="4" t="str">
        <f>IF('zu fertigen'!F18="","",'zu fertigen'!F18)</f>
        <v>identifiziert</v>
      </c>
    </row>
    <row r="34" spans="1:8" x14ac:dyDescent="0.25">
      <c r="A34" s="3" t="s">
        <v>53</v>
      </c>
      <c r="B34" s="4" t="s">
        <v>40</v>
      </c>
      <c r="C34" s="4">
        <v>2</v>
      </c>
      <c r="D34" s="6"/>
      <c r="E34" s="6">
        <f t="shared" si="0"/>
        <v>0</v>
      </c>
      <c r="F34" s="4"/>
      <c r="G34" s="4" t="s">
        <v>29</v>
      </c>
      <c r="H34" s="4" t="str">
        <f>IF('zu fertigen'!F19="","",'zu fertigen'!F19)</f>
        <v>identifiziert</v>
      </c>
    </row>
    <row r="35" spans="1:8" x14ac:dyDescent="0.25">
      <c r="A35" s="3" t="s">
        <v>54</v>
      </c>
      <c r="B35" s="4" t="s">
        <v>40</v>
      </c>
      <c r="C35" s="4">
        <v>2</v>
      </c>
      <c r="D35" s="6"/>
      <c r="E35" s="6">
        <f t="shared" si="0"/>
        <v>0</v>
      </c>
      <c r="F35" s="4"/>
      <c r="G35" s="4" t="s">
        <v>29</v>
      </c>
      <c r="H35" s="4" t="str">
        <f>IF('zu fertigen'!F20="","",'zu fertigen'!F20)</f>
        <v>identifiziert</v>
      </c>
    </row>
    <row r="36" spans="1:8" x14ac:dyDescent="0.25">
      <c r="A36" s="3"/>
      <c r="B36" s="4"/>
      <c r="C36" s="4"/>
      <c r="D36" s="4"/>
      <c r="E36" s="4"/>
      <c r="F36" s="4"/>
      <c r="G36" s="4"/>
      <c r="H36" s="4"/>
    </row>
    <row r="37" spans="1:8" x14ac:dyDescent="0.25">
      <c r="A37" s="5" t="s">
        <v>55</v>
      </c>
      <c r="B37" s="4"/>
      <c r="C37" s="4"/>
      <c r="D37" s="4"/>
      <c r="E37" s="4"/>
      <c r="F37" s="4"/>
      <c r="G37" s="4"/>
      <c r="H37" s="4"/>
    </row>
    <row r="38" spans="1:8" x14ac:dyDescent="0.25">
      <c r="A38" s="3" t="s">
        <v>56</v>
      </c>
      <c r="B38" s="4" t="s">
        <v>57</v>
      </c>
      <c r="C38" s="4">
        <v>2</v>
      </c>
      <c r="D38" s="6">
        <v>7.72</v>
      </c>
      <c r="E38" s="6">
        <f>IF(AND(ISNUMBER(C38),ISNUMBER(D38)),C38*D38,0)</f>
        <v>15.44</v>
      </c>
      <c r="F38" s="4" t="s">
        <v>58</v>
      </c>
      <c r="G38" s="4" t="s">
        <v>59</v>
      </c>
      <c r="H38" s="4" t="str">
        <f>IF('zu bestellen'!F73="","",'zu bestellen'!F73)</f>
        <v>identifiziert</v>
      </c>
    </row>
    <row r="39" spans="1:8" x14ac:dyDescent="0.25">
      <c r="A39" s="3" t="s">
        <v>60</v>
      </c>
      <c r="B39" s="4" t="s">
        <v>34</v>
      </c>
      <c r="C39" s="4">
        <v>2</v>
      </c>
      <c r="D39" s="6">
        <v>6.89</v>
      </c>
      <c r="E39" s="6">
        <f>IF(AND(ISNUMBER(C39),ISNUMBER(D39)),C39*D39,0)</f>
        <v>13.78</v>
      </c>
      <c r="F39" s="4" t="s">
        <v>58</v>
      </c>
      <c r="G39" s="4" t="s">
        <v>61</v>
      </c>
      <c r="H39" s="4" t="str">
        <f>IF('zu bestellen'!F7="","",'zu bestellen'!F7)</f>
        <v>identifiziert</v>
      </c>
    </row>
    <row r="40" spans="1:8" x14ac:dyDescent="0.25">
      <c r="A40" s="3" t="s">
        <v>62</v>
      </c>
      <c r="B40" s="4" t="s">
        <v>40</v>
      </c>
      <c r="C40" s="4">
        <v>2</v>
      </c>
      <c r="D40" s="6"/>
      <c r="E40" s="6">
        <f>IF(AND(ISNUMBER(C40),ISNUMBER(D40)),C40*D40,0)</f>
        <v>0</v>
      </c>
      <c r="F40" s="4" t="s">
        <v>58</v>
      </c>
      <c r="G40" s="4" t="s">
        <v>29</v>
      </c>
      <c r="H40" s="4" t="str">
        <f>IF('zu fertigen'!F21="","",'zu fertigen'!F21)</f>
        <v>identifiziert</v>
      </c>
    </row>
    <row r="41" spans="1:8" x14ac:dyDescent="0.25">
      <c r="A41" s="3" t="s">
        <v>63</v>
      </c>
      <c r="B41" s="4" t="s">
        <v>40</v>
      </c>
      <c r="C41" s="4">
        <v>2</v>
      </c>
      <c r="D41" s="6"/>
      <c r="E41" s="6">
        <f>IF(AND(ISNUMBER(C41),ISNUMBER(D41)),C41*D41,0)</f>
        <v>0</v>
      </c>
      <c r="F41" s="4" t="s">
        <v>58</v>
      </c>
      <c r="G41" s="4" t="s">
        <v>29</v>
      </c>
      <c r="H41" s="4" t="str">
        <f>IF('zu fertigen'!F22="","",'zu fertigen'!F22)</f>
        <v>identifiziert</v>
      </c>
    </row>
    <row r="42" spans="1:8" x14ac:dyDescent="0.25">
      <c r="A42" s="3" t="s">
        <v>64</v>
      </c>
      <c r="B42" s="4" t="s">
        <v>40</v>
      </c>
      <c r="C42" s="4">
        <v>2</v>
      </c>
      <c r="D42" s="6"/>
      <c r="E42" s="6">
        <f>IF(AND(ISNUMBER(C42),ISNUMBER(D42)),C42*D42,0)</f>
        <v>0</v>
      </c>
      <c r="F42" s="4" t="s">
        <v>58</v>
      </c>
      <c r="G42" s="4" t="s">
        <v>29</v>
      </c>
      <c r="H42" s="4" t="str">
        <f>IF('zu fertigen'!F23="","",'zu fertigen'!F23)</f>
        <v>identifiziert</v>
      </c>
    </row>
    <row r="43" spans="1:8" x14ac:dyDescent="0.25">
      <c r="A43" s="3"/>
      <c r="B43" s="4"/>
      <c r="C43" s="4"/>
      <c r="D43" s="4"/>
      <c r="E43" s="4"/>
      <c r="F43" s="4"/>
      <c r="G43" s="4"/>
      <c r="H43" s="4"/>
    </row>
    <row r="44" spans="1:8" x14ac:dyDescent="0.25">
      <c r="A44" s="5" t="s">
        <v>65</v>
      </c>
      <c r="B44" s="4"/>
      <c r="C44" s="4"/>
      <c r="D44" s="4"/>
      <c r="E44" s="4"/>
      <c r="F44" s="4"/>
      <c r="G44" s="4"/>
      <c r="H44" s="4"/>
    </row>
    <row r="45" spans="1:8" x14ac:dyDescent="0.25">
      <c r="A45" s="3" t="inlineStr">
        <is>
          <t>Linearwagen MR12 MN-SS-V0-N (DOLD)</t>
        </is>
      </c>
      <c r="B45" s="4" t="inlineStr">
        <is>
          <t>DOLD</t>
        </is>
      </c>
      <c r="C45" s="4">
        <v>2</v>
      </c>
      <c r="D45" s="6">
        <v>41.29</v>
      </c>
      <c r="E45" s="6">
        <f t="shared" ref="E45:E61" si="1">IF(AND(ISNUMBER(C45),ISNUMBER(D45)),C45*D45,0)</f>
        <v>37.200000000000003</v>
      </c>
      <c r="F45" s="4" t="s">
        <v>58</v>
      </c>
      <c r="G45" s="4" t="inlineStr">
        <is>
          <t>DOLD-Angebot AN2026-104489, Pos. 19/38 (MR12 MN-SS-V0-N-BLOCK)</t>
        </is>
      </c>
      <c r="H45" s="4" t="str">
        <f>IF('zu bestellen'!F63="","",'zu bestellen'!F63)</f>
        <v>identifiziert</v>
      </c>
    </row>
    <row r="46" spans="1:8" x14ac:dyDescent="0.25">
      <c r="A46" s="3" t="s">
        <v>69</v>
      </c>
      <c r="B46" s="4" t="s">
        <v>11</v>
      </c>
      <c r="C46" s="4">
        <v>1</v>
      </c>
      <c r="D46" s="6">
        <v>4.83</v>
      </c>
      <c r="E46" s="6">
        <f t="shared" si="1"/>
        <v>4.83</v>
      </c>
      <c r="F46" s="4" t="s">
        <v>58</v>
      </c>
      <c r="G46" s="4" t="s">
        <v>70</v>
      </c>
      <c r="H46" s="4" t="str">
        <f>IF('zu bestellen'!F25="","",'zu bestellen'!F25)</f>
        <v>identifiziert</v>
      </c>
    </row>
    <row r="47" spans="1:8" x14ac:dyDescent="0.25">
      <c r="A47" s="3" t="s">
        <v>71</v>
      </c>
      <c r="B47" s="4" t="s">
        <v>28</v>
      </c>
      <c r="C47" s="4">
        <v>2</v>
      </c>
      <c r="D47" s="6">
        <v>35</v>
      </c>
      <c r="E47" s="6">
        <f t="shared" si="1"/>
        <v>70</v>
      </c>
      <c r="F47" s="4" t="s">
        <v>58</v>
      </c>
      <c r="G47" s="4" t="s">
        <v>29</v>
      </c>
      <c r="H47" s="4" t="str">
        <f>IF('zu fertigen'!F59="","",'zu fertigen'!F59)</f>
        <v>identifiziert</v>
      </c>
    </row>
    <row r="48" spans="1:8" x14ac:dyDescent="0.25">
      <c r="A48" s="3" t="s">
        <v>56</v>
      </c>
      <c r="B48" s="4" t="s">
        <v>57</v>
      </c>
      <c r="C48" s="4">
        <v>1</v>
      </c>
      <c r="D48" s="6">
        <v>7.72</v>
      </c>
      <c r="E48" s="6">
        <f t="shared" si="1"/>
        <v>7.72</v>
      </c>
      <c r="F48" s="4" t="s">
        <v>58</v>
      </c>
      <c r="G48" s="4" t="s">
        <v>59</v>
      </c>
      <c r="H48" s="4" t="str">
        <f>IF('zu bestellen'!F74="","",'zu bestellen'!F74)</f>
        <v>identifiziert</v>
      </c>
    </row>
    <row r="49" spans="1:8" x14ac:dyDescent="0.25">
      <c r="A49" s="3" t="s">
        <v>72</v>
      </c>
      <c r="B49" s="4" t="s">
        <v>11</v>
      </c>
      <c r="C49" s="4">
        <v>4</v>
      </c>
      <c r="D49" s="6">
        <v>3.8</v>
      </c>
      <c r="E49" s="6">
        <f t="shared" si="1"/>
        <v>15.2</v>
      </c>
      <c r="F49" s="4" t="s">
        <v>58</v>
      </c>
      <c r="G49" s="4" t="s">
        <v>73</v>
      </c>
      <c r="H49" s="4" t="str">
        <f>IF('zu bestellen'!F26="","",'zu bestellen'!F26)</f>
        <v>identifiziert</v>
      </c>
    </row>
    <row r="50" spans="1:8" x14ac:dyDescent="0.25">
      <c r="A50" s="3" t="s">
        <v>74</v>
      </c>
      <c r="B50" s="4" t="s">
        <v>11</v>
      </c>
      <c r="C50" s="4">
        <v>2</v>
      </c>
      <c r="D50" s="6">
        <v>8.6999999999999993</v>
      </c>
      <c r="E50" s="6">
        <f t="shared" si="1"/>
        <v>17.399999999999999</v>
      </c>
      <c r="F50" s="4" t="s">
        <v>58</v>
      </c>
      <c r="G50" s="4" t="s">
        <v>75</v>
      </c>
      <c r="H50" s="4" t="str">
        <f>IF('zu bestellen'!F27="","",'zu bestellen'!F27)</f>
        <v>identifiziert</v>
      </c>
    </row>
    <row r="51" spans="1:8" x14ac:dyDescent="0.25">
      <c r="A51" s="3" t="s">
        <v>60</v>
      </c>
      <c r="B51" s="4" t="s">
        <v>34</v>
      </c>
      <c r="C51" s="4">
        <v>1</v>
      </c>
      <c r="D51" s="6">
        <v>6.89</v>
      </c>
      <c r="E51" s="6">
        <f t="shared" si="1"/>
        <v>6.89</v>
      </c>
      <c r="F51" s="4" t="s">
        <v>58</v>
      </c>
      <c r="G51" s="4" t="s">
        <v>61</v>
      </c>
      <c r="H51" s="4" t="str">
        <f>IF('zu bestellen'!F8="","",'zu bestellen'!F8)</f>
        <v>identifiziert</v>
      </c>
    </row>
    <row r="52" spans="1:8" x14ac:dyDescent="0.25">
      <c r="A52" s="3" t="s">
        <v>76</v>
      </c>
      <c r="B52" s="4" t="s">
        <v>40</v>
      </c>
      <c r="C52" s="4">
        <v>1</v>
      </c>
      <c r="D52" s="6"/>
      <c r="E52" s="6">
        <f t="shared" si="1"/>
        <v>0</v>
      </c>
      <c r="F52" s="4" t="s">
        <v>58</v>
      </c>
      <c r="G52" s="4" t="s">
        <v>29</v>
      </c>
      <c r="H52" s="4" t="str">
        <f>IF('zu fertigen'!F24="","",'zu fertigen'!F24)</f>
        <v>identifiziert</v>
      </c>
    </row>
    <row r="53" spans="1:8" x14ac:dyDescent="0.25">
      <c r="A53" s="3" t="s">
        <v>77</v>
      </c>
      <c r="B53" s="4" t="s">
        <v>40</v>
      </c>
      <c r="C53" s="4">
        <v>1</v>
      </c>
      <c r="D53" s="6"/>
      <c r="E53" s="6">
        <f t="shared" si="1"/>
        <v>0</v>
      </c>
      <c r="F53" s="4" t="s">
        <v>58</v>
      </c>
      <c r="G53" s="4" t="s">
        <v>29</v>
      </c>
      <c r="H53" s="4" t="str">
        <f>IF('zu fertigen'!F25="","",'zu fertigen'!F25)</f>
        <v>identifiziert</v>
      </c>
    </row>
    <row r="54" spans="1:8" x14ac:dyDescent="0.25">
      <c r="A54" s="3" t="s">
        <v>78</v>
      </c>
      <c r="B54" s="4" t="s">
        <v>40</v>
      </c>
      <c r="C54" s="4">
        <v>1</v>
      </c>
      <c r="D54" s="6"/>
      <c r="E54" s="6">
        <f t="shared" si="1"/>
        <v>0</v>
      </c>
      <c r="F54" s="4" t="s">
        <v>58</v>
      </c>
      <c r="G54" s="4" t="s">
        <v>29</v>
      </c>
      <c r="H54" s="4" t="str">
        <f>IF('zu fertigen'!F26="","",'zu fertigen'!F26)</f>
        <v>identifiziert</v>
      </c>
    </row>
    <row r="55" spans="1:8" x14ac:dyDescent="0.25">
      <c r="A55" s="3" t="s">
        <v>79</v>
      </c>
      <c r="B55" s="4" t="s">
        <v>40</v>
      </c>
      <c r="C55" s="4">
        <v>1</v>
      </c>
      <c r="D55" s="6"/>
      <c r="E55" s="6">
        <f t="shared" si="1"/>
        <v>0</v>
      </c>
      <c r="F55" s="4" t="s">
        <v>58</v>
      </c>
      <c r="G55" s="4" t="s">
        <v>29</v>
      </c>
      <c r="H55" s="4" t="str">
        <f>IF('zu fertigen'!F27="","",'zu fertigen'!F27)</f>
        <v>identifiziert</v>
      </c>
    </row>
    <row r="56" spans="1:8" x14ac:dyDescent="0.25">
      <c r="A56" s="3" t="s">
        <v>80</v>
      </c>
      <c r="B56" s="4" t="s">
        <v>40</v>
      </c>
      <c r="C56" s="4">
        <v>3</v>
      </c>
      <c r="D56" s="6"/>
      <c r="E56" s="6">
        <f t="shared" si="1"/>
        <v>0</v>
      </c>
      <c r="F56" s="4" t="s">
        <v>58</v>
      </c>
      <c r="G56" s="4" t="s">
        <v>29</v>
      </c>
      <c r="H56" s="4" t="str">
        <f>IF('zu fertigen'!F28="","",'zu fertigen'!F28)</f>
        <v>identifiziert</v>
      </c>
    </row>
    <row r="57" spans="1:8" x14ac:dyDescent="0.25">
      <c r="A57" s="3" t="s">
        <v>81</v>
      </c>
      <c r="B57" s="4" t="s">
        <v>40</v>
      </c>
      <c r="C57" s="4">
        <v>2</v>
      </c>
      <c r="D57" s="6"/>
      <c r="E57" s="6">
        <f t="shared" si="1"/>
        <v>0</v>
      </c>
      <c r="F57" s="4" t="s">
        <v>58</v>
      </c>
      <c r="G57" s="4" t="s">
        <v>29</v>
      </c>
      <c r="H57" s="4" t="str">
        <f>IF('zu fertigen'!F29="","",'zu fertigen'!F29)</f>
        <v>identifiziert</v>
      </c>
    </row>
    <row r="58" spans="1:8" x14ac:dyDescent="0.25">
      <c r="A58" s="3" t="s">
        <v>82</v>
      </c>
      <c r="B58" s="4" t="s">
        <v>40</v>
      </c>
      <c r="C58" s="4">
        <v>1</v>
      </c>
      <c r="D58" s="6"/>
      <c r="E58" s="6">
        <f t="shared" si="1"/>
        <v>0</v>
      </c>
      <c r="F58" s="4" t="s">
        <v>58</v>
      </c>
      <c r="G58" s="4" t="s">
        <v>29</v>
      </c>
      <c r="H58" s="4" t="str">
        <f>IF('zu fertigen'!F30="","",'zu fertigen'!F30)</f>
        <v>identifiziert</v>
      </c>
    </row>
    <row r="59" spans="1:8" x14ac:dyDescent="0.25">
      <c r="A59" s="3" t="s">
        <v>83</v>
      </c>
      <c r="B59" s="4" t="s">
        <v>40</v>
      </c>
      <c r="C59" s="4">
        <v>1</v>
      </c>
      <c r="D59" s="6"/>
      <c r="E59" s="6">
        <f t="shared" si="1"/>
        <v>0</v>
      </c>
      <c r="F59" s="4" t="s">
        <v>58</v>
      </c>
      <c r="G59" s="4" t="s">
        <v>29</v>
      </c>
      <c r="H59" s="4" t="str">
        <f>IF('zu fertigen'!F31="","",'zu fertigen'!F31)</f>
        <v>identifiziert</v>
      </c>
    </row>
    <row r="60" spans="1:8" x14ac:dyDescent="0.25">
      <c r="A60" s="3" t="s">
        <v>84</v>
      </c>
      <c r="B60" s="4" t="s">
        <v>40</v>
      </c>
      <c r="C60" s="4">
        <v>1</v>
      </c>
      <c r="D60" s="6"/>
      <c r="E60" s="6">
        <f t="shared" si="1"/>
        <v>0</v>
      </c>
      <c r="F60" s="4" t="s">
        <v>58</v>
      </c>
      <c r="G60" s="4" t="s">
        <v>29</v>
      </c>
      <c r="H60" s="4" t="str">
        <f>IF('zu fertigen'!F32="","",'zu fertigen'!F32)</f>
        <v>identifiziert</v>
      </c>
    </row>
    <row r="61" spans="1:8" x14ac:dyDescent="0.25">
      <c r="A61" s="3" t="s">
        <v>85</v>
      </c>
      <c r="B61" s="4" t="s">
        <v>40</v>
      </c>
      <c r="C61" s="4">
        <v>1</v>
      </c>
      <c r="D61" s="6"/>
      <c r="E61" s="6">
        <f t="shared" si="1"/>
        <v>0</v>
      </c>
      <c r="F61" s="4" t="s">
        <v>58</v>
      </c>
      <c r="G61" s="4" t="s">
        <v>29</v>
      </c>
      <c r="H61" s="4" t="str">
        <f>IF('zu fertigen'!F33="","",'zu fertigen'!F33)</f>
        <v>identifiziert</v>
      </c>
    </row>
    <row r="62" spans="1:8" x14ac:dyDescent="0.25">
      <c r="A62" s="3"/>
      <c r="B62" s="4"/>
      <c r="C62" s="4"/>
      <c r="D62" s="4"/>
      <c r="E62" s="4"/>
      <c r="F62" s="4"/>
      <c r="G62" s="4"/>
      <c r="H62" s="4"/>
    </row>
    <row r="63" spans="1:8" x14ac:dyDescent="0.25">
      <c r="A63" s="5" t="s">
        <v>86</v>
      </c>
      <c r="B63" s="4"/>
      <c r="C63" s="4"/>
      <c r="D63" s="4"/>
      <c r="E63" s="4"/>
      <c r="F63" s="4"/>
      <c r="G63" s="4"/>
      <c r="H63" s="4"/>
    </row>
    <row r="64" spans="1:8" x14ac:dyDescent="0.25">
      <c r="A64" s="3" t="s">
        <v>87</v>
      </c>
      <c r="B64" s="4" t="s">
        <v>11</v>
      </c>
      <c r="C64" s="4">
        <v>4</v>
      </c>
      <c r="D64" s="6">
        <v>4.2</v>
      </c>
      <c r="E64" s="6">
        <f t="shared" ref="E64:E78" si="2">IF(AND(ISNUMBER(C64),ISNUMBER(D64)),C64*D64,0)</f>
        <v>16.8</v>
      </c>
      <c r="F64" s="4" t="s">
        <v>58</v>
      </c>
      <c r="G64" s="4" t="s">
        <v>88</v>
      </c>
      <c r="H64" s="4" t="str">
        <f>IF('zu bestellen'!F28="","",'zu bestellen'!F28)</f>
        <v>identifiziert</v>
      </c>
    </row>
    <row r="65" spans="1:8" x14ac:dyDescent="0.25">
      <c r="A65" s="3" t="s">
        <v>89</v>
      </c>
      <c r="B65" s="4" t="s">
        <v>11</v>
      </c>
      <c r="C65" s="4">
        <v>4</v>
      </c>
      <c r="D65" s="6">
        <v>0.15</v>
      </c>
      <c r="E65" s="6">
        <f t="shared" si="2"/>
        <v>0.6</v>
      </c>
      <c r="F65" s="4" t="s">
        <v>58</v>
      </c>
      <c r="G65" s="4" t="s">
        <v>90</v>
      </c>
      <c r="H65" s="4" t="str">
        <f>IF('zu bestellen'!F29="","",'zu bestellen'!F29)</f>
        <v>identifiziert</v>
      </c>
    </row>
    <row r="66" spans="1:8" x14ac:dyDescent="0.25">
      <c r="A66" s="3" t="s">
        <v>56</v>
      </c>
      <c r="B66" s="4" t="s">
        <v>57</v>
      </c>
      <c r="C66" s="4">
        <v>1</v>
      </c>
      <c r="D66" s="6">
        <v>7.72</v>
      </c>
      <c r="E66" s="6">
        <f t="shared" si="2"/>
        <v>7.72</v>
      </c>
      <c r="F66" s="4" t="s">
        <v>58</v>
      </c>
      <c r="G66" s="4" t="s">
        <v>59</v>
      </c>
      <c r="H66" s="4" t="str">
        <f>IF('zu bestellen'!F75="","",'zu bestellen'!F75)</f>
        <v>identifiziert</v>
      </c>
    </row>
    <row r="67" spans="1:8" x14ac:dyDescent="0.25">
      <c r="A67" s="3" t="s">
        <v>91</v>
      </c>
      <c r="B67" s="4" t="s">
        <v>11</v>
      </c>
      <c r="C67" s="4">
        <v>4</v>
      </c>
      <c r="D67" s="6">
        <v>2.9</v>
      </c>
      <c r="E67" s="6">
        <f t="shared" si="2"/>
        <v>11.6</v>
      </c>
      <c r="F67" s="4" t="s">
        <v>58</v>
      </c>
      <c r="G67" s="4" t="s">
        <v>92</v>
      </c>
      <c r="H67" s="4" t="str">
        <f>IF('zu bestellen'!F30="","",'zu bestellen'!F30)</f>
        <v>identifiziert</v>
      </c>
    </row>
    <row r="68" spans="1:8" x14ac:dyDescent="0.25">
      <c r="A68" s="3" t="s">
        <v>93</v>
      </c>
      <c r="B68" s="4" t="s">
        <v>11</v>
      </c>
      <c r="C68" s="4">
        <v>4</v>
      </c>
      <c r="D68" s="6">
        <v>3.2</v>
      </c>
      <c r="E68" s="6">
        <f t="shared" si="2"/>
        <v>12.8</v>
      </c>
      <c r="F68" s="4" t="s">
        <v>58</v>
      </c>
      <c r="G68" s="4" t="s">
        <v>94</v>
      </c>
      <c r="H68" s="4" t="str">
        <f>IF('zu bestellen'!F31="","",'zu bestellen'!F31)</f>
        <v>identifiziert</v>
      </c>
    </row>
    <row r="69" spans="1:8" x14ac:dyDescent="0.25">
      <c r="A69" s="3" t="s">
        <v>95</v>
      </c>
      <c r="B69" s="4" t="s">
        <v>11</v>
      </c>
      <c r="C69" s="4">
        <v>5</v>
      </c>
      <c r="D69" s="6">
        <v>2.5</v>
      </c>
      <c r="E69" s="6">
        <f t="shared" si="2"/>
        <v>12.5</v>
      </c>
      <c r="F69" s="4" t="s">
        <v>58</v>
      </c>
      <c r="G69" s="4" t="s">
        <v>96</v>
      </c>
      <c r="H69" s="4" t="str">
        <f>IF('zu bestellen'!F32="","",'zu bestellen'!F32)</f>
        <v>identifiziert</v>
      </c>
    </row>
    <row r="70" spans="1:8" x14ac:dyDescent="0.25">
      <c r="A70" s="3" t="inlineStr">
        <is>
          <t>Linearwagen MR12 MN-SS-V0-N (DOLD)</t>
        </is>
      </c>
      <c r="B70" s="4" t="inlineStr">
        <is>
          <t>DOLD</t>
        </is>
      </c>
      <c r="C70" s="4">
        <v>1</v>
      </c>
      <c r="D70" s="6">
        <v>41.29</v>
      </c>
      <c r="E70" s="6">
        <f t="shared" si="2"/>
        <v>18.600000000000001</v>
      </c>
      <c r="F70" s="4" t="s">
        <v>58</v>
      </c>
      <c r="G70" s="4" t="inlineStr">
        <is>
          <t>DOLD-Angebot AN2026-104489, Pos. 19/38 (MR12 MN-SS-V0-N-BLOCK)</t>
        </is>
      </c>
      <c r="H70" s="4" t="str">
        <f>IF('zu bestellen'!F64="","",'zu bestellen'!F64)</f>
        <v>identifiziert</v>
      </c>
    </row>
    <row r="71" spans="1:8" x14ac:dyDescent="0.25">
      <c r="A71" s="3" t="s">
        <v>97</v>
      </c>
      <c r="B71" s="4" t="s">
        <v>34</v>
      </c>
      <c r="C71" s="4">
        <v>1</v>
      </c>
      <c r="D71" s="6">
        <v>10.69</v>
      </c>
      <c r="E71" s="6">
        <f t="shared" si="2"/>
        <v>10.69</v>
      </c>
      <c r="F71" s="4" t="s">
        <v>58</v>
      </c>
      <c r="G71" s="4" t="s">
        <v>98</v>
      </c>
      <c r="H71" s="4" t="str">
        <f>IF('zu bestellen'!F9="","",'zu bestellen'!F9)</f>
        <v>identifiziert</v>
      </c>
    </row>
    <row r="72" spans="1:8" x14ac:dyDescent="0.25">
      <c r="A72" s="3" t="s">
        <v>99</v>
      </c>
      <c r="B72" s="4" t="s">
        <v>100</v>
      </c>
      <c r="C72" s="4">
        <v>1</v>
      </c>
      <c r="D72" s="6">
        <v>57.41</v>
      </c>
      <c r="E72" s="6">
        <f t="shared" si="2"/>
        <v>57.41</v>
      </c>
      <c r="F72" s="4" t="s">
        <v>58</v>
      </c>
      <c r="G72" s="4" t="s">
        <v>101</v>
      </c>
      <c r="H72" s="4" t="str">
        <f>IF('zu bestellen'!F79="","",'zu bestellen'!F79)</f>
        <v>identifiziert</v>
      </c>
    </row>
    <row r="73" spans="1:8" x14ac:dyDescent="0.25">
      <c r="A73" s="3" t="s">
        <v>102</v>
      </c>
      <c r="B73" s="4" t="s">
        <v>40</v>
      </c>
      <c r="C73" s="4">
        <v>1</v>
      </c>
      <c r="D73" s="6"/>
      <c r="E73" s="6">
        <f t="shared" si="2"/>
        <v>0</v>
      </c>
      <c r="F73" s="4" t="s">
        <v>58</v>
      </c>
      <c r="G73" s="4" t="s">
        <v>29</v>
      </c>
      <c r="H73" s="4" t="str">
        <f>IF('zu fertigen'!F34="","",'zu fertigen'!F34)</f>
        <v>identifiziert</v>
      </c>
    </row>
    <row r="74" spans="1:8" x14ac:dyDescent="0.25">
      <c r="A74" s="3" t="s">
        <v>103</v>
      </c>
      <c r="B74" s="4" t="s">
        <v>40</v>
      </c>
      <c r="C74" s="4">
        <v>1</v>
      </c>
      <c r="D74" s="6"/>
      <c r="E74" s="6">
        <f t="shared" si="2"/>
        <v>0</v>
      </c>
      <c r="F74" s="4" t="s">
        <v>58</v>
      </c>
      <c r="G74" s="4" t="s">
        <v>29</v>
      </c>
      <c r="H74" s="4" t="str">
        <f>IF('zu fertigen'!F35="","",'zu fertigen'!F35)</f>
        <v>identifiziert</v>
      </c>
    </row>
    <row r="75" spans="1:8" x14ac:dyDescent="0.25">
      <c r="A75" s="3" t="s">
        <v>104</v>
      </c>
      <c r="B75" s="4" t="s">
        <v>40</v>
      </c>
      <c r="C75" s="4">
        <v>1</v>
      </c>
      <c r="D75" s="6"/>
      <c r="E75" s="6">
        <f t="shared" si="2"/>
        <v>0</v>
      </c>
      <c r="F75" s="4" t="s">
        <v>58</v>
      </c>
      <c r="G75" s="4" t="s">
        <v>29</v>
      </c>
      <c r="H75" s="4" t="str">
        <f>IF('zu fertigen'!F36="","",'zu fertigen'!F36)</f>
        <v>identifiziert</v>
      </c>
    </row>
    <row r="76" spans="1:8" x14ac:dyDescent="0.25">
      <c r="A76" s="3" t="s">
        <v>105</v>
      </c>
      <c r="B76" s="4" t="s">
        <v>40</v>
      </c>
      <c r="C76" s="4">
        <v>1</v>
      </c>
      <c r="D76" s="6"/>
      <c r="E76" s="6">
        <f t="shared" si="2"/>
        <v>0</v>
      </c>
      <c r="F76" s="4" t="s">
        <v>58</v>
      </c>
      <c r="G76" s="4" t="s">
        <v>29</v>
      </c>
      <c r="H76" s="4" t="str">
        <f>IF('zu fertigen'!F37="","",'zu fertigen'!F37)</f>
        <v>identifiziert</v>
      </c>
    </row>
    <row r="77" spans="1:8" x14ac:dyDescent="0.25">
      <c r="A77" s="3" t="s">
        <v>106</v>
      </c>
      <c r="B77" s="4" t="s">
        <v>40</v>
      </c>
      <c r="C77" s="4">
        <v>1</v>
      </c>
      <c r="D77" s="6"/>
      <c r="E77" s="6">
        <f t="shared" si="2"/>
        <v>0</v>
      </c>
      <c r="F77" s="4" t="s">
        <v>58</v>
      </c>
      <c r="G77" s="4" t="s">
        <v>29</v>
      </c>
      <c r="H77" s="4" t="str">
        <f>IF('zu fertigen'!F38="","",'zu fertigen'!F38)</f>
        <v>identifiziert</v>
      </c>
    </row>
    <row r="78" spans="1:8" x14ac:dyDescent="0.25">
      <c r="A78" s="3" t="s">
        <v>107</v>
      </c>
      <c r="B78" s="4" t="s">
        <v>40</v>
      </c>
      <c r="C78" s="4">
        <v>1</v>
      </c>
      <c r="D78" s="6"/>
      <c r="E78" s="6">
        <f t="shared" si="2"/>
        <v>0</v>
      </c>
      <c r="F78" s="4" t="s">
        <v>58</v>
      </c>
      <c r="G78" s="4" t="s">
        <v>29</v>
      </c>
      <c r="H78" s="4" t="str">
        <f>IF('zu fertigen'!F39="","",'zu fertigen'!F39)</f>
        <v>identifiziert</v>
      </c>
    </row>
    <row r="79" spans="1:8" x14ac:dyDescent="0.25">
      <c r="A79" s="3"/>
      <c r="B79" s="4"/>
      <c r="C79" s="4"/>
      <c r="D79" s="4"/>
      <c r="E79" s="4"/>
      <c r="F79" s="4"/>
      <c r="G79" s="4"/>
      <c r="H79" s="4"/>
    </row>
    <row r="80" spans="1:8" x14ac:dyDescent="0.25">
      <c r="A80" s="5" t="s">
        <v>108</v>
      </c>
      <c r="B80" s="4"/>
      <c r="C80" s="4"/>
      <c r="D80" s="4"/>
      <c r="E80" s="4"/>
      <c r="F80" s="4"/>
      <c r="G80" s="4"/>
      <c r="H80" s="4"/>
    </row>
    <row r="81" spans="1:8" x14ac:dyDescent="0.25">
      <c r="A81" s="3" t="s">
        <v>109</v>
      </c>
      <c r="B81" s="4" t="s">
        <v>11</v>
      </c>
      <c r="C81" s="4">
        <v>1</v>
      </c>
      <c r="D81" s="6">
        <v>20.55</v>
      </c>
      <c r="E81" s="6">
        <f t="shared" ref="E81:E86" si="3">IF(AND(ISNUMBER(C81),ISNUMBER(D81)),C81*D81,0)</f>
        <v>20.55</v>
      </c>
      <c r="F81" s="4" t="s">
        <v>58</v>
      </c>
      <c r="G81" s="4" t="s">
        <v>110</v>
      </c>
      <c r="H81" s="4" t="str">
        <f>IF('zu bestellen'!F33="","",'zu bestellen'!F33)</f>
        <v>identifiziert</v>
      </c>
    </row>
    <row r="82" spans="1:8" x14ac:dyDescent="0.25">
      <c r="A82" s="3" t="s">
        <v>111</v>
      </c>
      <c r="B82" s="4"/>
      <c r="C82" s="4">
        <v>1</v>
      </c>
      <c r="D82" s="6" t="s">
        <v>112</v>
      </c>
      <c r="E82" s="6">
        <f t="shared" si="3"/>
        <v>0</v>
      </c>
      <c r="F82" s="4" t="s">
        <v>58</v>
      </c>
      <c r="G82" s="7"/>
      <c r="H82" s="4" t="str">
        <f>IF('zu bestellen'!F88="","",'zu bestellen'!F88)</f>
        <v/>
      </c>
    </row>
    <row r="83" spans="1:8" x14ac:dyDescent="0.25">
      <c r="A83" s="3" t="s">
        <v>113</v>
      </c>
      <c r="B83" s="4" t="s">
        <v>40</v>
      </c>
      <c r="C83" s="4">
        <v>1</v>
      </c>
      <c r="D83" s="6"/>
      <c r="E83" s="6">
        <f t="shared" si="3"/>
        <v>0</v>
      </c>
      <c r="F83" s="4" t="s">
        <v>58</v>
      </c>
      <c r="G83" s="4" t="s">
        <v>29</v>
      </c>
      <c r="H83" s="4" t="str">
        <f>IF('zu fertigen'!F40="","",'zu fertigen'!F40)</f>
        <v>identifiziert</v>
      </c>
    </row>
    <row r="84" spans="1:8" x14ac:dyDescent="0.25">
      <c r="A84" s="3" t="s">
        <v>114</v>
      </c>
      <c r="B84" s="4" t="s">
        <v>40</v>
      </c>
      <c r="C84" s="4">
        <v>1</v>
      </c>
      <c r="D84" s="6"/>
      <c r="E84" s="6">
        <f t="shared" si="3"/>
        <v>0</v>
      </c>
      <c r="F84" s="4" t="s">
        <v>58</v>
      </c>
      <c r="G84" s="4" t="s">
        <v>29</v>
      </c>
      <c r="H84" s="4" t="str">
        <f>IF('zu fertigen'!F41="","",'zu fertigen'!F41)</f>
        <v>identifiziert</v>
      </c>
    </row>
    <row r="85" spans="1:8" x14ac:dyDescent="0.25">
      <c r="A85" s="3" t="s">
        <v>115</v>
      </c>
      <c r="B85" s="4" t="s">
        <v>40</v>
      </c>
      <c r="C85" s="4">
        <v>1</v>
      </c>
      <c r="D85" s="6"/>
      <c r="E85" s="6">
        <f t="shared" si="3"/>
        <v>0</v>
      </c>
      <c r="F85" s="4" t="s">
        <v>58</v>
      </c>
      <c r="G85" s="4" t="s">
        <v>29</v>
      </c>
      <c r="H85" s="4" t="str">
        <f>IF('zu fertigen'!F42="","",'zu fertigen'!F42)</f>
        <v>identifiziert</v>
      </c>
    </row>
    <row r="86" spans="1:8" x14ac:dyDescent="0.25">
      <c r="A86" s="3" t="s">
        <v>116</v>
      </c>
      <c r="B86" s="4" t="s">
        <v>40</v>
      </c>
      <c r="C86" s="4">
        <v>1</v>
      </c>
      <c r="D86" s="6"/>
      <c r="E86" s="6">
        <f t="shared" si="3"/>
        <v>0</v>
      </c>
      <c r="F86" s="4" t="s">
        <v>58</v>
      </c>
      <c r="G86" s="4" t="s">
        <v>29</v>
      </c>
      <c r="H86" s="4" t="str">
        <f>IF('zu fertigen'!F43="","",'zu fertigen'!F43)</f>
        <v>identifiziert</v>
      </c>
    </row>
    <row r="87" spans="1:8" x14ac:dyDescent="0.25">
      <c r="A87" s="3"/>
      <c r="B87" s="4"/>
      <c r="C87" s="4"/>
      <c r="D87" s="4"/>
      <c r="E87" s="4"/>
      <c r="F87" s="4"/>
      <c r="G87" s="4"/>
      <c r="H87" s="4"/>
    </row>
    <row r="88" spans="1:8" x14ac:dyDescent="0.25">
      <c r="A88" s="5" t="s">
        <v>117</v>
      </c>
      <c r="B88" s="4"/>
      <c r="C88" s="4"/>
      <c r="D88" s="4"/>
      <c r="E88" s="4"/>
      <c r="F88" s="4"/>
      <c r="G88" s="4"/>
      <c r="H88" s="4"/>
    </row>
    <row r="89" spans="1:8" x14ac:dyDescent="0.25">
      <c r="A89" s="3" t="s">
        <v>118</v>
      </c>
      <c r="B89" s="4" t="s">
        <v>119</v>
      </c>
      <c r="C89" s="4">
        <v>1</v>
      </c>
      <c r="D89" s="6">
        <v>49.95</v>
      </c>
      <c r="E89" s="6">
        <f t="shared" ref="E89:E109" si="4">IF(AND(ISNUMBER(C89),ISNUMBER(D89)),C89*D89,0)</f>
        <v>49.95</v>
      </c>
      <c r="F89" s="4" t="s">
        <v>58</v>
      </c>
      <c r="G89" s="4" t="s">
        <v>120</v>
      </c>
      <c r="H89" s="4" t="str">
        <f>IF('zu bestellen'!F68="","",'zu bestellen'!F68)</f>
        <v>identifiziert</v>
      </c>
    </row>
    <row r="90" spans="1:8" x14ac:dyDescent="0.25">
      <c r="A90" s="3" t="s">
        <v>121</v>
      </c>
      <c r="B90" s="4" t="s">
        <v>119</v>
      </c>
      <c r="C90" s="4">
        <v>4</v>
      </c>
      <c r="D90" s="6">
        <v>13.65</v>
      </c>
      <c r="E90" s="6">
        <f t="shared" si="4"/>
        <v>54.6</v>
      </c>
      <c r="F90" s="4" t="s">
        <v>58</v>
      </c>
      <c r="G90" s="4" t="s">
        <v>122</v>
      </c>
      <c r="H90" s="4" t="str">
        <f>IF('zu bestellen'!F69="","",'zu bestellen'!F69)</f>
        <v>identifiziert</v>
      </c>
    </row>
    <row r="91" spans="1:8" x14ac:dyDescent="0.25">
      <c r="A91" s="3" t="s">
        <v>123</v>
      </c>
      <c r="B91" s="4" t="s">
        <v>11</v>
      </c>
      <c r="C91" s="4">
        <v>1</v>
      </c>
      <c r="D91" s="6">
        <v>84.79</v>
      </c>
      <c r="E91" s="6">
        <f t="shared" si="4"/>
        <v>84.79</v>
      </c>
      <c r="F91" s="4"/>
      <c r="G91" s="4" t="s">
        <v>124</v>
      </c>
      <c r="H91" s="4" t="str">
        <f>IF('zu bestellen'!F34="","",'zu bestellen'!F34)</f>
        <v>identifiziert</v>
      </c>
    </row>
    <row r="92" spans="1:8" x14ac:dyDescent="0.25">
      <c r="A92" s="3" t="s">
        <v>125</v>
      </c>
      <c r="B92" s="4"/>
      <c r="C92" s="7"/>
      <c r="D92" s="6"/>
      <c r="E92" s="6">
        <f t="shared" si="4"/>
        <v>0</v>
      </c>
      <c r="F92" s="4" t="s">
        <v>58</v>
      </c>
      <c r="G92" s="7"/>
      <c r="H92" s="4" t="str">
        <f>IF('zu bestellen'!F89="","",'zu bestellen'!F89)</f>
        <v/>
      </c>
    </row>
    <row r="93" spans="1:8" x14ac:dyDescent="0.25">
      <c r="A93" s="3" t="s">
        <v>126</v>
      </c>
      <c r="B93" s="4"/>
      <c r="C93" s="7"/>
      <c r="D93" s="6"/>
      <c r="E93" s="6">
        <f t="shared" si="4"/>
        <v>0</v>
      </c>
      <c r="F93" s="4" t="s">
        <v>58</v>
      </c>
      <c r="G93" s="7"/>
      <c r="H93" s="4" t="str">
        <f>IF('zu bestellen'!F90="","",'zu bestellen'!F90)</f>
        <v/>
      </c>
    </row>
    <row r="94" spans="1:8" x14ac:dyDescent="0.25">
      <c r="A94" s="3" t="s">
        <v>127</v>
      </c>
      <c r="B94" s="4"/>
      <c r="C94" s="7"/>
      <c r="D94" s="6"/>
      <c r="E94" s="6">
        <f t="shared" si="4"/>
        <v>0</v>
      </c>
      <c r="F94" s="4"/>
      <c r="G94" s="7"/>
      <c r="H94" s="4" t="str">
        <f>IF('zu bestellen'!F91="","",'zu bestellen'!F91)</f>
        <v/>
      </c>
    </row>
    <row r="95" spans="1:8" ht="30" x14ac:dyDescent="0.25">
      <c r="A95" s="3" t="s">
        <v>128</v>
      </c>
      <c r="B95" s="4" t="s">
        <v>129</v>
      </c>
      <c r="C95" s="4">
        <v>2</v>
      </c>
      <c r="D95" s="6">
        <f>(14*0.49+6.48)*1.19</f>
        <v>15.874599999999999</v>
      </c>
      <c r="E95" s="6">
        <f t="shared" si="4"/>
        <v>31.749199999999998</v>
      </c>
      <c r="F95" s="4" t="s">
        <v>58</v>
      </c>
      <c r="G95" s="4" t="s">
        <v>130</v>
      </c>
      <c r="H95" s="4" t="str">
        <f>IF('zu bestellen'!F83="","",'zu bestellen'!F83)</f>
        <v>identifiziert</v>
      </c>
    </row>
    <row r="96" spans="1:8" ht="30" x14ac:dyDescent="0.25">
      <c r="A96" s="3" t="s">
        <v>131</v>
      </c>
      <c r="B96" s="4" t="s">
        <v>129</v>
      </c>
      <c r="C96" s="4">
        <v>2</v>
      </c>
      <c r="D96" s="6">
        <f>(12*0.47+6.2)*1.19</f>
        <v>14.089599999999999</v>
      </c>
      <c r="E96" s="6">
        <f t="shared" si="4"/>
        <v>28.179199999999998</v>
      </c>
      <c r="F96" s="4" t="s">
        <v>58</v>
      </c>
      <c r="G96" s="4" t="s">
        <v>132</v>
      </c>
      <c r="H96" s="4" t="str">
        <f>IF('zu bestellen'!F84="","",'zu bestellen'!F84)</f>
        <v>identifiziert</v>
      </c>
    </row>
    <row r="97" spans="1:8" x14ac:dyDescent="0.25">
      <c r="A97" s="3" t="s">
        <v>133</v>
      </c>
      <c r="B97" s="4"/>
      <c r="C97" s="7"/>
      <c r="D97" s="6"/>
      <c r="E97" s="6">
        <f t="shared" si="4"/>
        <v>0</v>
      </c>
      <c r="F97" s="4" t="s">
        <v>58</v>
      </c>
      <c r="G97" s="7"/>
      <c r="H97" s="4" t="str">
        <f>IF('zu bestellen'!F92="","",'zu bestellen'!F92)</f>
        <v/>
      </c>
    </row>
    <row r="98" spans="1:8" x14ac:dyDescent="0.25">
      <c r="A98" s="3" t="s">
        <v>134</v>
      </c>
      <c r="B98" s="4"/>
      <c r="C98" s="7"/>
      <c r="D98" s="6"/>
      <c r="E98" s="6">
        <f t="shared" si="4"/>
        <v>0</v>
      </c>
      <c r="F98" s="4" t="s">
        <v>58</v>
      </c>
      <c r="G98" s="7"/>
      <c r="H98" s="4" t="str">
        <f>IF('zu bestellen'!F93="","",'zu bestellen'!F93)</f>
        <v/>
      </c>
    </row>
    <row r="99" spans="1:8" x14ac:dyDescent="0.25">
      <c r="A99" s="3" t="s">
        <v>135</v>
      </c>
      <c r="B99" s="4" t="s">
        <v>34</v>
      </c>
      <c r="C99" s="4">
        <v>1</v>
      </c>
      <c r="D99" s="6">
        <v>9.99</v>
      </c>
      <c r="E99" s="6">
        <f t="shared" si="4"/>
        <v>9.99</v>
      </c>
      <c r="F99" s="4"/>
      <c r="G99" s="4" t="s">
        <v>136</v>
      </c>
      <c r="H99" s="4" t="str">
        <f>IF('zu bestellen'!F10="","",'zu bestellen'!F10)</f>
        <v>identifiziert</v>
      </c>
    </row>
    <row r="100" spans="1:8" x14ac:dyDescent="0.25">
      <c r="A100" s="3" t="s">
        <v>137</v>
      </c>
      <c r="B100" s="4" t="s">
        <v>138</v>
      </c>
      <c r="C100" s="4">
        <v>1</v>
      </c>
      <c r="D100" s="6"/>
      <c r="E100" s="6">
        <f t="shared" si="4"/>
        <v>0</v>
      </c>
      <c r="F100" s="4"/>
      <c r="G100" s="4" t="s">
        <v>29</v>
      </c>
      <c r="H100" s="4" t="str">
        <f>IF('zu fertigen'!F64="","",'zu fertigen'!F64)</f>
        <v>identifiziert</v>
      </c>
    </row>
    <row r="101" spans="1:8" x14ac:dyDescent="0.25">
      <c r="A101" s="3" t="s">
        <v>139</v>
      </c>
      <c r="B101" s="4" t="s">
        <v>138</v>
      </c>
      <c r="C101" s="4">
        <v>1</v>
      </c>
      <c r="D101" s="6"/>
      <c r="E101" s="6">
        <f t="shared" si="4"/>
        <v>0</v>
      </c>
      <c r="F101" s="4" t="s">
        <v>58</v>
      </c>
      <c r="G101" s="4" t="s">
        <v>29</v>
      </c>
      <c r="H101" s="4" t="str">
        <f>IF('zu fertigen'!F65="","",'zu fertigen'!F65)</f>
        <v>identifiziert</v>
      </c>
    </row>
    <row r="102" spans="1:8" x14ac:dyDescent="0.25">
      <c r="A102" s="3" t="s">
        <v>140</v>
      </c>
      <c r="B102" s="4" t="s">
        <v>40</v>
      </c>
      <c r="C102" s="4">
        <v>1</v>
      </c>
      <c r="D102" s="6"/>
      <c r="E102" s="6">
        <f t="shared" si="4"/>
        <v>0</v>
      </c>
      <c r="F102" s="4"/>
      <c r="G102" s="4" t="s">
        <v>29</v>
      </c>
      <c r="H102" s="4" t="str">
        <f>IF('zu fertigen'!F44="","",'zu fertigen'!F44)</f>
        <v>identifiziert</v>
      </c>
    </row>
    <row r="103" spans="1:8" x14ac:dyDescent="0.25">
      <c r="A103" s="3" t="s">
        <v>141</v>
      </c>
      <c r="B103" s="4" t="s">
        <v>40</v>
      </c>
      <c r="C103" s="4">
        <v>1</v>
      </c>
      <c r="D103" s="6"/>
      <c r="E103" s="6">
        <f t="shared" si="4"/>
        <v>0</v>
      </c>
      <c r="F103" s="4"/>
      <c r="G103" s="4" t="s">
        <v>29</v>
      </c>
      <c r="H103" s="4" t="str">
        <f>IF('zu fertigen'!F45="","",'zu fertigen'!F45)</f>
        <v>identifiziert</v>
      </c>
    </row>
    <row r="104" spans="1:8" x14ac:dyDescent="0.25">
      <c r="A104" s="3" t="s">
        <v>142</v>
      </c>
      <c r="B104" s="4" t="s">
        <v>40</v>
      </c>
      <c r="C104" s="4">
        <v>1</v>
      </c>
      <c r="D104" s="6"/>
      <c r="E104" s="6">
        <f t="shared" si="4"/>
        <v>0</v>
      </c>
      <c r="F104" s="4"/>
      <c r="G104" s="4" t="s">
        <v>29</v>
      </c>
      <c r="H104" s="4" t="str">
        <f>IF('zu fertigen'!F46="","",'zu fertigen'!F46)</f>
        <v>identifiziert</v>
      </c>
    </row>
    <row r="105" spans="1:8" x14ac:dyDescent="0.25">
      <c r="A105" s="3" t="s">
        <v>143</v>
      </c>
      <c r="B105" s="4" t="s">
        <v>40</v>
      </c>
      <c r="C105" s="4">
        <v>1</v>
      </c>
      <c r="D105" s="6"/>
      <c r="E105" s="6">
        <f t="shared" si="4"/>
        <v>0</v>
      </c>
      <c r="F105" s="4"/>
      <c r="G105" s="4" t="s">
        <v>29</v>
      </c>
      <c r="H105" s="4" t="str">
        <f>IF('zu fertigen'!F47="","",'zu fertigen'!F47)</f>
        <v>identifiziert</v>
      </c>
    </row>
    <row r="106" spans="1:8" x14ac:dyDescent="0.25">
      <c r="A106" s="3" t="s">
        <v>144</v>
      </c>
      <c r="B106" s="4" t="s">
        <v>40</v>
      </c>
      <c r="C106" s="4">
        <v>1</v>
      </c>
      <c r="D106" s="6"/>
      <c r="E106" s="6">
        <f t="shared" si="4"/>
        <v>0</v>
      </c>
      <c r="F106" s="4"/>
      <c r="G106" s="4" t="s">
        <v>29</v>
      </c>
      <c r="H106" s="4" t="str">
        <f>IF('zu fertigen'!F48="","",'zu fertigen'!F48)</f>
        <v>identifiziert</v>
      </c>
    </row>
    <row r="107" spans="1:8" x14ac:dyDescent="0.25">
      <c r="A107" s="3" t="s">
        <v>145</v>
      </c>
      <c r="B107" s="4" t="s">
        <v>40</v>
      </c>
      <c r="C107" s="4">
        <v>1</v>
      </c>
      <c r="D107" s="6"/>
      <c r="E107" s="6">
        <f t="shared" si="4"/>
        <v>0</v>
      </c>
      <c r="F107" s="4"/>
      <c r="G107" s="4" t="s">
        <v>29</v>
      </c>
      <c r="H107" s="4" t="str">
        <f>IF('zu fertigen'!F49="","",'zu fertigen'!F49)</f>
        <v>identifiziert</v>
      </c>
    </row>
    <row r="108" spans="1:8" x14ac:dyDescent="0.25">
      <c r="A108" s="3" t="s">
        <v>146</v>
      </c>
      <c r="B108" s="4" t="s">
        <v>40</v>
      </c>
      <c r="C108" s="4">
        <v>1</v>
      </c>
      <c r="D108" s="6"/>
      <c r="E108" s="6">
        <f t="shared" si="4"/>
        <v>0</v>
      </c>
      <c r="F108" s="4"/>
      <c r="G108" s="4" t="s">
        <v>29</v>
      </c>
      <c r="H108" s="4" t="str">
        <f>IF('zu fertigen'!F50="","",'zu fertigen'!F50)</f>
        <v>identifiziert</v>
      </c>
    </row>
    <row r="109" spans="1:8" x14ac:dyDescent="0.25">
      <c r="A109" s="3" t="s">
        <v>147</v>
      </c>
      <c r="B109" s="4" t="s">
        <v>40</v>
      </c>
      <c r="C109" s="4">
        <v>1</v>
      </c>
      <c r="D109" s="6"/>
      <c r="E109" s="6">
        <f t="shared" si="4"/>
        <v>0</v>
      </c>
      <c r="F109" s="4"/>
      <c r="G109" s="4" t="s">
        <v>29</v>
      </c>
      <c r="H109" s="4" t="str">
        <f>IF('zu fertigen'!F51="","",'zu fertigen'!F51)</f>
        <v>identifiziert</v>
      </c>
    </row>
    <row r="110" spans="1:8" x14ac:dyDescent="0.25">
      <c r="A110" s="3"/>
      <c r="B110" s="4"/>
      <c r="C110" s="4"/>
      <c r="D110" s="4"/>
      <c r="E110" s="4"/>
      <c r="F110" s="4"/>
      <c r="G110" s="4"/>
      <c r="H110" s="4"/>
    </row>
    <row r="111" spans="1:8" x14ac:dyDescent="0.25">
      <c r="A111" s="5" t="s">
        <v>148</v>
      </c>
      <c r="B111" s="4"/>
      <c r="C111" s="4"/>
      <c r="D111" s="4"/>
      <c r="E111" s="4"/>
      <c r="F111" s="4"/>
      <c r="G111" s="4"/>
      <c r="H111" s="4"/>
    </row>
    <row r="112" spans="1:8" x14ac:dyDescent="0.25">
      <c r="A112" s="3" t="s">
        <v>149</v>
      </c>
      <c r="B112" s="4" t="s">
        <v>40</v>
      </c>
      <c r="C112" s="4">
        <v>1</v>
      </c>
      <c r="D112" s="6"/>
      <c r="E112" s="6">
        <f>IF(AND(ISNUMBER(C112),ISNUMBER(D112)),C112*D112,0)</f>
        <v>0</v>
      </c>
      <c r="F112" s="4"/>
      <c r="G112" s="4" t="s">
        <v>29</v>
      </c>
      <c r="H112" s="4" t="str">
        <f>IF('zu fertigen'!F52="","",'zu fertigen'!F52)</f>
        <v>identifiziert</v>
      </c>
    </row>
    <row r="113" spans="1:8" x14ac:dyDescent="0.25">
      <c r="A113" s="3" t="s">
        <v>150</v>
      </c>
      <c r="B113" s="4" t="s">
        <v>40</v>
      </c>
      <c r="C113" s="4">
        <v>1</v>
      </c>
      <c r="D113" s="6"/>
      <c r="E113" s="6">
        <f>IF(AND(ISNUMBER(C113),ISNUMBER(D113)),C113*D113,0)</f>
        <v>0</v>
      </c>
      <c r="F113" s="4"/>
      <c r="G113" s="4" t="s">
        <v>29</v>
      </c>
      <c r="H113" s="4" t="str">
        <f>IF('zu fertigen'!F53="","",'zu fertigen'!F53)</f>
        <v>identifiziert</v>
      </c>
    </row>
    <row r="114" spans="1:8" x14ac:dyDescent="0.25">
      <c r="A114" s="3"/>
      <c r="B114" s="4"/>
      <c r="C114" s="4"/>
      <c r="D114" s="4"/>
      <c r="E114" s="4"/>
      <c r="F114" s="4"/>
      <c r="G114" s="4"/>
      <c r="H114" s="4"/>
    </row>
    <row r="115" spans="1:8" x14ac:dyDescent="0.25">
      <c r="A115" s="5" t="s">
        <v>151</v>
      </c>
      <c r="B115" s="4"/>
      <c r="C115" s="4"/>
      <c r="D115" s="4"/>
      <c r="E115" s="4"/>
      <c r="F115" s="4"/>
      <c r="G115" s="4"/>
      <c r="H115" s="4"/>
    </row>
    <row r="116" spans="1:8" x14ac:dyDescent="0.25">
      <c r="A116" s="3" t="s">
        <v>152</v>
      </c>
      <c r="B116" s="4" t="s">
        <v>11</v>
      </c>
      <c r="C116" s="4">
        <v>58</v>
      </c>
      <c r="D116" s="6"/>
      <c r="E116" s="6">
        <f t="shared" ref="E116:E142" si="5">IF(AND(ISNUMBER(C116),ISNUMBER(D116)),C116*D116,0)</f>
        <v>0</v>
      </c>
      <c r="F116" s="4"/>
      <c r="G116" s="4" t="s">
        <v>153</v>
      </c>
      <c r="H116" s="4" t="str">
        <f>IF('zu bestellen'!F35="","",'zu bestellen'!F35)</f>
        <v>identifiziert</v>
      </c>
    </row>
    <row r="117" spans="1:8" x14ac:dyDescent="0.25">
      <c r="A117" s="3" t="s">
        <v>154</v>
      </c>
      <c r="B117" s="4" t="s">
        <v>11</v>
      </c>
      <c r="C117" s="4">
        <v>84</v>
      </c>
      <c r="D117" s="6"/>
      <c r="E117" s="6">
        <f t="shared" si="5"/>
        <v>0</v>
      </c>
      <c r="F117" s="4"/>
      <c r="G117" s="4" t="s">
        <v>153</v>
      </c>
      <c r="H117" s="4" t="str">
        <f>IF('zu bestellen'!F36="","",'zu bestellen'!F36)</f>
        <v>identifiziert</v>
      </c>
    </row>
    <row r="118" spans="1:8" x14ac:dyDescent="0.25">
      <c r="A118" s="3" t="s">
        <v>155</v>
      </c>
      <c r="B118" s="4" t="inlineStr">
        <is>
          <t>Werkstatt</t>
        </is>
      </c>
      <c r="C118" s="4">
        <v>10</v>
      </c>
      <c r="D118" s="6"/>
      <c r="E118" s="6">
        <f t="shared" si="5"/>
        <v>0</v>
      </c>
      <c r="F118" s="4"/>
      <c r="G118" s="4"/>
      <c r="H118" s="4" t="str">
        <f>IF('zu bestellen'!F37="","",'zu bestellen'!F37)</f>
        <v>identifiziert</v>
      </c>
    </row>
    <row r="119" spans="1:8" x14ac:dyDescent="0.25">
      <c r="A119" s="3" t="s">
        <v>156</v>
      </c>
      <c r="B119" s="4" t="inlineStr">
        <is>
          <t>Werkstatt</t>
        </is>
      </c>
      <c r="C119" s="4">
        <v>6</v>
      </c>
      <c r="D119" s="6"/>
      <c r="E119" s="6">
        <f t="shared" si="5"/>
        <v>0</v>
      </c>
      <c r="F119" s="4"/>
      <c r="G119" s="4"/>
      <c r="H119" s="4" t="str">
        <f>IF('zu bestellen'!F38="","",'zu bestellen'!F38)</f>
        <v>identifiziert</v>
      </c>
    </row>
    <row r="120" spans="1:8" x14ac:dyDescent="0.25">
      <c r="A120" s="3" t="s">
        <v>157</v>
      </c>
      <c r="B120" s="4" t="s">
        <v>11</v>
      </c>
      <c r="C120" s="4">
        <v>31</v>
      </c>
      <c r="D120" s="6"/>
      <c r="E120" s="6">
        <f t="shared" si="5"/>
        <v>0</v>
      </c>
      <c r="F120" s="4"/>
      <c r="G120" s="4" t="s">
        <v>153</v>
      </c>
      <c r="H120" s="4" t="str">
        <f>IF('zu bestellen'!F39="","",'zu bestellen'!F39)</f>
        <v>identifiziert</v>
      </c>
    </row>
    <row r="121" spans="1:8" x14ac:dyDescent="0.25">
      <c r="A121" s="3" t="s">
        <v>158</v>
      </c>
      <c r="B121" s="4" t="s">
        <v>11</v>
      </c>
      <c r="C121" s="4">
        <v>36</v>
      </c>
      <c r="D121" s="6"/>
      <c r="E121" s="6">
        <f t="shared" si="5"/>
        <v>0</v>
      </c>
      <c r="F121" s="4"/>
      <c r="G121" s="4" t="s">
        <v>153</v>
      </c>
      <c r="H121" s="4" t="str">
        <f>IF('zu bestellen'!F40="","",'zu bestellen'!F40)</f>
        <v>identifiziert</v>
      </c>
    </row>
    <row r="122" spans="1:8" x14ac:dyDescent="0.25">
      <c r="A122" s="3" t="s">
        <v>159</v>
      </c>
      <c r="B122" s="4" t="inlineStr">
        <is>
          <t>Werkstatt</t>
        </is>
      </c>
      <c r="C122" s="4">
        <v>6</v>
      </c>
      <c r="D122" s="6"/>
      <c r="E122" s="6">
        <f t="shared" si="5"/>
        <v>0</v>
      </c>
      <c r="F122" s="4"/>
      <c r="G122" s="4"/>
      <c r="H122" s="4" t="str">
        <f>IF('zu bestellen'!F41="","",'zu bestellen'!F41)</f>
        <v>identifiziert</v>
      </c>
    </row>
    <row r="123" spans="1:8" x14ac:dyDescent="0.25">
      <c r="A123" s="3" t="s">
        <v>160</v>
      </c>
      <c r="B123" s="4" t="inlineStr">
        <is>
          <t>Werkstatt</t>
        </is>
      </c>
      <c r="C123" s="4">
        <v>10</v>
      </c>
      <c r="D123" s="6"/>
      <c r="E123" s="6">
        <f t="shared" si="5"/>
        <v>0</v>
      </c>
      <c r="F123" s="4"/>
      <c r="G123" s="4"/>
      <c r="H123" s="4" t="str">
        <f>IF('zu bestellen'!F42="","",'zu bestellen'!F42)</f>
        <v>identifiziert</v>
      </c>
    </row>
    <row r="124" spans="1:8" x14ac:dyDescent="0.25">
      <c r="A124" s="3" t="s">
        <v>161</v>
      </c>
      <c r="B124" s="4" t="inlineStr">
        <is>
          <t>Werkstatt</t>
        </is>
      </c>
      <c r="C124" s="4">
        <v>3</v>
      </c>
      <c r="D124" s="6"/>
      <c r="E124" s="6">
        <f t="shared" si="5"/>
        <v>0</v>
      </c>
      <c r="F124" s="4"/>
      <c r="G124" s="4"/>
      <c r="H124" s="4" t="str">
        <f>IF('zu bestellen'!F43="","",'zu bestellen'!F43)</f>
        <v>identifiziert</v>
      </c>
    </row>
    <row r="125" spans="1:8" x14ac:dyDescent="0.25">
      <c r="A125" s="3" t="s">
        <v>162</v>
      </c>
      <c r="B125" s="4" t="s">
        <v>11</v>
      </c>
      <c r="C125" s="4">
        <v>22</v>
      </c>
      <c r="D125" s="6"/>
      <c r="E125" s="6">
        <f t="shared" si="5"/>
        <v>0</v>
      </c>
      <c r="F125" s="4"/>
      <c r="G125" s="4" t="s">
        <v>153</v>
      </c>
      <c r="H125" s="4" t="str">
        <f>IF('zu bestellen'!F44="","",'zu bestellen'!F44)</f>
        <v>identifiziert</v>
      </c>
    </row>
    <row r="126" spans="1:8" x14ac:dyDescent="0.25">
      <c r="A126" s="3" t="s">
        <v>163</v>
      </c>
      <c r="B126" s="4" t="s">
        <v>11</v>
      </c>
      <c r="C126" s="4">
        <v>40</v>
      </c>
      <c r="D126" s="6"/>
      <c r="E126" s="6">
        <f t="shared" si="5"/>
        <v>0</v>
      </c>
      <c r="F126" s="4"/>
      <c r="G126" s="4" t="s">
        <v>153</v>
      </c>
      <c r="H126" s="4" t="str">
        <f>IF('zu bestellen'!F45="","",'zu bestellen'!F45)</f>
        <v>identifiziert</v>
      </c>
    </row>
    <row r="127" spans="1:8" x14ac:dyDescent="0.25">
      <c r="A127" s="3" t="s">
        <v>164</v>
      </c>
      <c r="B127" s="4" t="s">
        <v>11</v>
      </c>
      <c r="C127" s="4">
        <v>36</v>
      </c>
      <c r="D127" s="6"/>
      <c r="E127" s="6">
        <f t="shared" si="5"/>
        <v>0</v>
      </c>
      <c r="F127" s="4"/>
      <c r="G127" s="4" t="s">
        <v>153</v>
      </c>
      <c r="H127" s="4" t="str">
        <f>IF('zu bestellen'!F46="","",'zu bestellen'!F46)</f>
        <v>identifiziert</v>
      </c>
    </row>
    <row r="128" spans="1:8" x14ac:dyDescent="0.25">
      <c r="A128" s="3" t="s">
        <v>165</v>
      </c>
      <c r="B128" s="4" t="inlineStr">
        <is>
          <t>Werkstatt</t>
        </is>
      </c>
      <c r="C128" s="4">
        <v>6</v>
      </c>
      <c r="D128" s="6"/>
      <c r="E128" s="6">
        <f t="shared" si="5"/>
        <v>0</v>
      </c>
      <c r="F128" s="4"/>
      <c r="G128" s="4"/>
      <c r="H128" s="4" t="str">
        <f>IF('zu bestellen'!F47="","",'zu bestellen'!F47)</f>
        <v>identifiziert</v>
      </c>
    </row>
    <row r="129" spans="1:8" x14ac:dyDescent="0.25">
      <c r="A129" s="3" t="s">
        <v>167</v>
      </c>
      <c r="B129" s="4" t="s">
        <v>11</v>
      </c>
      <c r="C129" s="4">
        <v>36</v>
      </c>
      <c r="D129" s="6"/>
      <c r="E129" s="6">
        <f t="shared" si="5"/>
        <v>0</v>
      </c>
      <c r="F129" s="4"/>
      <c r="G129" s="4" t="s">
        <v>168</v>
      </c>
      <c r="H129" s="4" t="str">
        <f>IF('zu bestellen'!F48="","",'zu bestellen'!F48)</f>
        <v>identifiziert</v>
      </c>
    </row>
    <row r="130" spans="1:8" x14ac:dyDescent="0.25">
      <c r="A130" s="3" t="s">
        <v>169</v>
      </c>
      <c r="B130" s="4" t="s">
        <v>11</v>
      </c>
      <c r="C130" s="4">
        <v>18</v>
      </c>
      <c r="D130" s="6"/>
      <c r="E130" s="6">
        <f t="shared" si="5"/>
        <v>0</v>
      </c>
      <c r="F130" s="4"/>
      <c r="G130" s="4" t="s">
        <v>168</v>
      </c>
      <c r="H130" s="4" t="str">
        <f>IF('zu bestellen'!F49="","",'zu bestellen'!F49)</f>
        <v>identifiziert</v>
      </c>
    </row>
    <row r="131" spans="1:8" x14ac:dyDescent="0.25">
      <c r="A131" s="3" t="s">
        <v>170</v>
      </c>
      <c r="B131" s="4" t="inlineStr">
        <is>
          <t>Werkstatt</t>
        </is>
      </c>
      <c r="C131" s="4">
        <v>8</v>
      </c>
      <c r="D131" s="6"/>
      <c r="E131" s="6">
        <f t="shared" si="5"/>
        <v>0</v>
      </c>
      <c r="F131" s="4"/>
      <c r="G131" s="4"/>
      <c r="H131" s="4" t="str">
        <f>IF('zu bestellen'!F50="","",'zu bestellen'!F50)</f>
        <v>identifiziert</v>
      </c>
    </row>
    <row r="132" spans="1:8" x14ac:dyDescent="0.25">
      <c r="A132" s="3" t="s">
        <v>171</v>
      </c>
      <c r="B132" s="4" t="s">
        <v>11</v>
      </c>
      <c r="C132" s="4">
        <v>25</v>
      </c>
      <c r="D132" s="6"/>
      <c r="E132" s="6">
        <f t="shared" si="5"/>
        <v>0</v>
      </c>
      <c r="F132" s="4"/>
      <c r="G132" s="4" t="s">
        <v>168</v>
      </c>
      <c r="H132" s="4" t="str">
        <f>IF('zu bestellen'!F51="","",'zu bestellen'!F51)</f>
        <v>identifiziert</v>
      </c>
    </row>
    <row r="133" spans="1:8" x14ac:dyDescent="0.25">
      <c r="A133" s="3" t="s">
        <v>172</v>
      </c>
      <c r="B133" s="4" t="inlineStr">
        <is>
          <t>Werkstatt</t>
        </is>
      </c>
      <c r="C133" s="4">
        <v>10</v>
      </c>
      <c r="D133" s="6"/>
      <c r="E133" s="6">
        <f t="shared" si="5"/>
        <v>0</v>
      </c>
      <c r="F133" s="4"/>
      <c r="G133" s="4"/>
      <c r="H133" s="4" t="str">
        <f>IF('zu bestellen'!F52="","",'zu bestellen'!F52)</f>
        <v>identifiziert</v>
      </c>
    </row>
    <row r="134" spans="1:8" x14ac:dyDescent="0.25">
      <c r="A134" s="3" t="s">
        <v>174</v>
      </c>
      <c r="B134" s="4" t="s">
        <v>11</v>
      </c>
      <c r="C134" s="4">
        <v>49</v>
      </c>
      <c r="D134" s="6">
        <v>0.14000000000000001</v>
      </c>
      <c r="E134" s="6">
        <f t="shared" si="5"/>
        <v>5.6000000000000005</v>
      </c>
      <c r="F134" s="4"/>
      <c r="G134" s="4" t="s">
        <v>175</v>
      </c>
      <c r="H134" s="4" t="str">
        <f>IF('zu bestellen'!F53="","",'zu bestellen'!F53)</f>
        <v>identifiziert</v>
      </c>
    </row>
    <row r="135" spans="1:8" x14ac:dyDescent="0.25">
      <c r="A135" s="3" t="s">
        <v>176</v>
      </c>
      <c r="B135" s="4" t="s">
        <v>11</v>
      </c>
      <c r="C135" s="4">
        <v>71</v>
      </c>
      <c r="D135" s="6">
        <v>0.14000000000000001</v>
      </c>
      <c r="E135" s="6">
        <f t="shared" si="5"/>
        <v>7.4200000000000008</v>
      </c>
      <c r="F135" s="4"/>
      <c r="G135" s="4" t="s">
        <v>175</v>
      </c>
      <c r="H135" s="4" t="str">
        <f>IF('zu bestellen'!F54="","",'zu bestellen'!F54)</f>
        <v>identifiziert</v>
      </c>
    </row>
    <row r="136" spans="1:8" x14ac:dyDescent="0.25">
      <c r="A136" s="3" t="inlineStr">
        <is>
          <t>DIN 934 (ISO 4032) Sechskantmutter M8, A2 – entfällt: 2 Klemmmuttern je Sensor im Lieferumfang (Amazon LJ8A3)</t>
        </is>
      </c>
      <c r="B136" s="4" t="s">
        <v>11</v>
      </c>
      <c r="C136" s="4">
        <v>0</v>
      </c>
      <c r="D136" s="6">
        <v>0.53</v>
      </c>
      <c r="E136" s="6">
        <f t="shared" si="5"/>
        <v>28.09</v>
      </c>
      <c r="F136" s="4"/>
      <c r="G136" s="4" t="s">
        <v>178</v>
      </c>
      <c r="H136" s="4" t="str">
        <f>IF('zu bestellen'!F55="","",'zu bestellen'!F55)</f>
        <v>identifiziert</v>
      </c>
    </row>
    <row r="137" spans="1:8" x14ac:dyDescent="0.25">
      <c r="A137" s="3" t="s">
        <v>179</v>
      </c>
      <c r="B137" s="4" t="inlineStr">
        <is>
          <t>Werkstatt</t>
        </is>
      </c>
      <c r="C137" s="4">
        <v>10</v>
      </c>
      <c r="D137" s="6"/>
      <c r="E137" s="6">
        <f t="shared" si="5"/>
        <v>0</v>
      </c>
      <c r="F137" s="4"/>
      <c r="G137" s="4"/>
      <c r="H137" s="4" t="str">
        <f>IF('zu bestellen'!F56="","",'zu bestellen'!F56)</f>
        <v>identifiziert</v>
      </c>
    </row>
    <row r="138" spans="1:8" x14ac:dyDescent="0.25">
      <c r="A138" s="3" t="s">
        <v>181</v>
      </c>
      <c r="B138" s="4" t="inlineStr">
        <is>
          <t>Werkstatt</t>
        </is>
      </c>
      <c r="C138" s="4">
        <v>10</v>
      </c>
      <c r="D138" s="6"/>
      <c r="E138" s="6">
        <f t="shared" si="5"/>
        <v>0</v>
      </c>
      <c r="F138" s="4"/>
      <c r="G138" s="7"/>
      <c r="H138" s="4" t="str">
        <f>IF('zu bestellen'!F94="","",'zu bestellen'!F94)</f>
        <v/>
      </c>
    </row>
    <row r="139" spans="1:8" x14ac:dyDescent="0.25">
      <c r="A139" s="3" t="s">
        <v>182</v>
      </c>
      <c r="B139" s="4"/>
      <c r="C139" s="4">
        <v>14</v>
      </c>
      <c r="D139" s="6"/>
      <c r="E139" s="6">
        <f t="shared" si="5"/>
        <v>0</v>
      </c>
      <c r="F139" s="4"/>
      <c r="G139" s="7"/>
      <c r="H139" s="4" t="str">
        <f>IF('zu bestellen'!F95="","",'zu bestellen'!F95)</f>
        <v/>
      </c>
    </row>
    <row r="140" spans="1:8" x14ac:dyDescent="0.25">
      <c r="A140" s="3" t="s">
        <v>183</v>
      </c>
      <c r="B140" s="4" t="s">
        <v>11</v>
      </c>
      <c r="C140" s="4">
        <v>10</v>
      </c>
      <c r="D140" s="6">
        <v>0.39</v>
      </c>
      <c r="E140" s="6">
        <f t="shared" si="5"/>
        <v>3.9000000000000004</v>
      </c>
      <c r="F140" s="4"/>
      <c r="G140" s="4" t="s">
        <v>184</v>
      </c>
      <c r="H140" s="4" t="str">
        <f>IF('zu bestellen'!F57="","",'zu bestellen'!F57)</f>
        <v>identifiziert</v>
      </c>
    </row>
    <row r="141" spans="1:8" x14ac:dyDescent="0.25">
      <c r="A141" s="3" t="s">
        <v>185</v>
      </c>
      <c r="B141" s="4" t="s">
        <v>11</v>
      </c>
      <c r="C141" s="4">
        <v>46</v>
      </c>
      <c r="D141" s="6">
        <v>0.39</v>
      </c>
      <c r="E141" s="6">
        <f t="shared" si="5"/>
        <v>17.940000000000001</v>
      </c>
      <c r="F141" s="4"/>
      <c r="G141" s="4" t="s">
        <v>186</v>
      </c>
      <c r="H141" s="4" t="str">
        <f>IF('zu bestellen'!F58="","",'zu bestellen'!F58)</f>
        <v>identifiziert</v>
      </c>
    </row>
    <row r="142" spans="1:8" x14ac:dyDescent="0.25">
      <c r="A142" s="3" t="s">
        <v>187</v>
      </c>
      <c r="B142" s="4" t="s">
        <v>11</v>
      </c>
      <c r="C142" s="4">
        <v>16</v>
      </c>
      <c r="D142" s="6">
        <v>0.15</v>
      </c>
      <c r="E142" s="6">
        <f t="shared" si="5"/>
        <v>2.4</v>
      </c>
      <c r="F142" s="4"/>
      <c r="G142" s="4" t="s">
        <v>188</v>
      </c>
      <c r="H142" s="4" t="str">
        <f>IF('zu bestellen'!F59="","",'zu bestellen'!F59)</f>
        <v>identifiziert</v>
      </c>
    </row>
    <row r="143" spans="1:8" x14ac:dyDescent="0.25">
      <c r="A143" s="3"/>
      <c r="B143" s="4"/>
      <c r="C143" s="4"/>
      <c r="D143" s="4"/>
      <c r="E143" s="4"/>
      <c r="F143" s="4"/>
      <c r="G143" s="4"/>
      <c r="H143" s="4"/>
    </row>
    <row r="144" spans="1:8" x14ac:dyDescent="0.25">
      <c r="A144" s="3"/>
      <c r="B144" s="4"/>
      <c r="C144" s="4"/>
      <c r="D144" s="4"/>
      <c r="E144" s="4"/>
      <c r="F144" s="4"/>
      <c r="G144" s="4"/>
      <c r="H144" s="4"/>
    </row>
    <row r="145" spans="1:8" x14ac:dyDescent="0.25">
      <c r="A145" s="5" t="s">
        <v>189</v>
      </c>
      <c r="B145" s="4"/>
      <c r="C145" s="4"/>
      <c r="D145" s="4"/>
      <c r="E145" s="6">
        <f>SUMIFS(E6:E113,F6:F113,"&lt;&gt;x")</f>
        <v>679.68999999999994</v>
      </c>
      <c r="F145" s="4"/>
      <c r="G145" s="4"/>
      <c r="H145" s="4"/>
    </row>
    <row r="146" spans="1:8" x14ac:dyDescent="0.25">
      <c r="A146" s="5" t="s">
        <v>190</v>
      </c>
      <c r="B146" s="4"/>
      <c r="C146" s="4"/>
      <c r="D146" s="4"/>
      <c r="E146" s="6">
        <f>SUMIFS(E6:E113,F6:F113,"x")</f>
        <v>522.20839999999998</v>
      </c>
      <c r="F146" s="4"/>
      <c r="G146" s="4"/>
      <c r="H146" s="4"/>
    </row>
    <row r="147" spans="1:8" x14ac:dyDescent="0.25">
      <c r="A147" s="5" t="s">
        <v>191</v>
      </c>
      <c r="B147" s="4"/>
      <c r="C147" s="4"/>
      <c r="D147" s="4"/>
      <c r="E147" s="6">
        <f>SUM(E116:E142)</f>
        <v>65.350000000000009</v>
      </c>
      <c r="F147" s="4"/>
      <c r="G147" s="4"/>
      <c r="H147" s="4"/>
    </row>
    <row r="148" spans="1:8" x14ac:dyDescent="0.25">
      <c r="A148" s="3"/>
      <c r="B148" s="4"/>
      <c r="C148" s="4"/>
      <c r="D148" s="4"/>
      <c r="E148" s="4"/>
      <c r="F148" s="4"/>
      <c r="G148" s="4"/>
      <c r="H148" s="4"/>
    </row>
    <row r="149" spans="1:8" x14ac:dyDescent="0.25">
      <c r="A149" s="5" t="s">
        <v>192</v>
      </c>
      <c r="B149" s="4"/>
      <c r="C149" s="4"/>
      <c r="D149" s="4"/>
      <c r="E149" s="6">
        <f>E145+E146+E147</f>
        <v>1267.2483999999999</v>
      </c>
      <c r="F149" s="4"/>
      <c r="G149" s="4"/>
      <c r="H149" s="4"/>
    </row>
    <row r="150" spans="1:8" x14ac:dyDescent="0.25">
      <c r="A150" s="5" t="s">
        <v>193</v>
      </c>
      <c r="B150" s="4"/>
      <c r="C150" s="4"/>
      <c r="D150" s="4"/>
      <c r="E150" s="6">
        <f>E149/1.19</f>
        <v>1064.9146218487394</v>
      </c>
      <c r="F150" s="4"/>
      <c r="G150" s="4"/>
      <c r="H150" s="4"/>
    </row>
    <row r="151" spans="1:8" x14ac:dyDescent="0.25">
      <c r="A151" s="3"/>
      <c r="B151" s="4"/>
      <c r="C151" s="4"/>
      <c r="D151" s="4"/>
      <c r="E151" s="4"/>
      <c r="F151" s="4"/>
      <c r="G151" s="4"/>
      <c r="H151" s="4"/>
    </row>
    <row r="152" spans="1:8" x14ac:dyDescent="0.25">
      <c r="A152" s="5" t="s">
        <v>194</v>
      </c>
      <c r="B152" s="4"/>
      <c r="C152" s="4"/>
      <c r="D152" s="4"/>
      <c r="E152" s="6">
        <f>E145+4*E146+E147</f>
        <v>2833.8735999999999</v>
      </c>
      <c r="F152" s="4"/>
      <c r="G152" s="4"/>
      <c r="H152" s="4"/>
    </row>
    <row r="153" spans="1:8" x14ac:dyDescent="0.25">
      <c r="A153" s="5" t="s">
        <v>195</v>
      </c>
      <c r="B153" s="4"/>
      <c r="C153" s="4"/>
      <c r="D153" s="4"/>
      <c r="E153" s="6">
        <f>E152/1.19</f>
        <v>2381.4063865546218</v>
      </c>
      <c r="F153" s="4"/>
      <c r="G153" s="4"/>
      <c r="H153" s="4"/>
    </row>
    <row r="154" spans="1:8" x14ac:dyDescent="0.25">
      <c r="A154" s="3"/>
      <c r="B154" s="4"/>
      <c r="C154" s="4"/>
      <c r="D154" s="4"/>
      <c r="E154" s="4"/>
      <c r="F154" s="4"/>
      <c r="G154" s="4"/>
      <c r="H154" s="4"/>
    </row>
    <row r="155" spans="1:8" ht="30" x14ac:dyDescent="0.25">
      <c r="A155" s="3" t="s">
        <v>196</v>
      </c>
      <c r="B155" s="4"/>
      <c r="C155" s="4"/>
      <c r="D155" s="4"/>
      <c r="E155" s="4"/>
      <c r="F155" s="4"/>
      <c r="G155" s="4"/>
      <c r="H155" s="4"/>
    </row>
    <row r="156" spans="1:8" ht="30" x14ac:dyDescent="0.25">
      <c r="A156" s="3" t="s">
        <v>197</v>
      </c>
      <c r="B156" s="4"/>
      <c r="C156" s="4"/>
      <c r="D156" s="4"/>
      <c r="E156" s="4"/>
      <c r="F156" s="4"/>
      <c r="G156" s="4"/>
      <c r="H156"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
  <sheetViews>
    <sheetView workbookViewId="0">
      <pane ySplit="3" topLeftCell="A4" activePane="bottomLeft" state="frozen"/>
      <selection pane="bottomLeft"/>
    </sheetView>
  </sheetViews>
  <sheetFormatPr baseColWidth="10" defaultColWidth="9.140625" defaultRowHeight="15" x14ac:dyDescent="0.25"/>
  <cols>
    <col min="1" max="1" width="71.7109375" customWidth="1"/>
    <col min="2" max="2" width="12" customWidth="1"/>
    <col min="3" max="4" width="14" customWidth="1"/>
    <col min="5" max="5" width="70" customWidth="1"/>
    <col min="6" max="6" width="14" customWidth="1"/>
  </cols>
  <sheetData>
    <row r="1" spans="1:6" ht="18.75" x14ac:dyDescent="0.3">
      <c r="A1" s="1" t="s">
        <v>198</v>
      </c>
    </row>
    <row r="3" spans="1:6" x14ac:dyDescent="0.25">
      <c r="A3" s="2" t="s">
        <v>1</v>
      </c>
      <c r="B3" s="2" t="s">
        <v>199</v>
      </c>
      <c r="C3" s="2" t="s">
        <v>4</v>
      </c>
      <c r="D3" s="2" t="s">
        <v>5</v>
      </c>
      <c r="E3" s="2" t="s">
        <v>7</v>
      </c>
      <c r="F3" s="2" t="s">
        <v>8</v>
      </c>
    </row>
    <row r="4" spans="1:6" x14ac:dyDescent="0.25">
      <c r="A4" s="3"/>
      <c r="B4" s="4"/>
      <c r="C4" s="4"/>
      <c r="D4" s="4"/>
      <c r="E4" s="4"/>
      <c r="F4" s="4"/>
    </row>
    <row r="5" spans="1:6" x14ac:dyDescent="0.25">
      <c r="A5" s="5" t="s">
        <v>34</v>
      </c>
      <c r="B5" s="4"/>
      <c r="C5" s="4"/>
      <c r="D5" s="4"/>
      <c r="E5" s="4"/>
      <c r="F5" s="4"/>
    </row>
    <row r="6" spans="1:6" x14ac:dyDescent="0.25">
      <c r="A6" s="3" t="str">
        <f>'Alle Bauteile'!A18</f>
        <v>Übersichtskamera ELP 8MP USB-Kameramodul IMX179, 75° ohne Verzerrung</v>
      </c>
      <c r="B6" s="4">
        <f>IF('Alle Bauteile'!C18="","",IF('Alle Bauteile'!F18="x",4*'Alle Bauteile'!C18,'Alle Bauteile'!C18))</f>
        <v>1</v>
      </c>
      <c r="C6" s="6">
        <f>IF('Alle Bauteile'!D18="","",'Alle Bauteile'!D18)</f>
        <v>63</v>
      </c>
      <c r="D6" s="6">
        <f>IF(AND(ISNUMBER(B6),ISNUMBER(C6)),B6*C6,0)</f>
        <v>63</v>
      </c>
      <c r="E6" s="4" t="str">
        <f>IF('Alle Bauteile'!G18="","",'Alle Bauteile'!G18)</f>
        <v>https://www.amazon.de/dp/B07FXBW81G</v>
      </c>
      <c r="F6" s="4" t="s">
        <v>200</v>
      </c>
    </row>
    <row r="7" spans="1:6" x14ac:dyDescent="0.25">
      <c r="A7" s="3" t="str">
        <f>'Alle Bauteile'!A39</f>
        <v>Endschalter induktiv M8, LJ8A3-2-Z/BX (NPN, Schließer, 2 mm)</v>
      </c>
      <c r="B7" s="4">
        <f>IF('Alle Bauteile'!C39="","",IF('Alle Bauteile'!F39="x",4*'Alle Bauteile'!C39,'Alle Bauteile'!C39))</f>
        <v>8</v>
      </c>
      <c r="C7" s="6">
        <f>IF('Alle Bauteile'!D39="","",'Alle Bauteile'!D39)</f>
        <v>6.89</v>
      </c>
      <c r="D7" s="6">
        <f>IF(AND(ISNUMBER(B7),ISNUMBER(C7)),B7*C7,0)</f>
        <v>55.12</v>
      </c>
      <c r="E7" s="4" t="str">
        <f>IF('Alle Bauteile'!G39="","",'Alle Bauteile'!G39)</f>
        <v>https://www.amazon.de/Induktive-N%C3%A4herungsschalter-LJ8-A3-2-z-BX-Normalerweise/dp/B072Q68493/</v>
      </c>
      <c r="F7" s="4" t="s">
        <v>200</v>
      </c>
    </row>
    <row r="8" spans="1:6" x14ac:dyDescent="0.25">
      <c r="A8" s="3" t="str">
        <f>'Alle Bauteile'!A51</f>
        <v>Endschalter induktiv M8, LJ8A3-2-Z/BX (NPN, Schließer, 2 mm)</v>
      </c>
      <c r="B8" s="4">
        <f>IF('Alle Bauteile'!C51="","",IF('Alle Bauteile'!F51="x",4*'Alle Bauteile'!C51,'Alle Bauteile'!C51))</f>
        <v>4</v>
      </c>
      <c r="C8" s="6">
        <f>IF('Alle Bauteile'!D51="","",'Alle Bauteile'!D51)</f>
        <v>6.89</v>
      </c>
      <c r="D8" s="6">
        <f>IF(AND(ISNUMBER(B8),ISNUMBER(C8)),B8*C8,0)</f>
        <v>27.56</v>
      </c>
      <c r="E8" s="4" t="str">
        <f>IF('Alle Bauteile'!G51="","",'Alle Bauteile'!G51)</f>
        <v>https://www.amazon.de/Induktive-N%C3%A4herungsschalter-LJ8-A3-2-z-BX-Normalerweise/dp/B072Q68493/</v>
      </c>
      <c r="F8" s="4" t="s">
        <v>200</v>
      </c>
    </row>
    <row r="9" spans="1:6" x14ac:dyDescent="0.25">
      <c r="A9" s="3" t="str">
        <f>'Alle Bauteile'!A71</f>
        <v>6 Stück optische Endstops mit Kabel</v>
      </c>
      <c r="B9" s="4">
        <f>IF('Alle Bauteile'!C71="","",IF('Alle Bauteile'!F71="x",4*'Alle Bauteile'!C71,'Alle Bauteile'!C71))</f>
        <v>4</v>
      </c>
      <c r="C9" s="6">
        <f>IF('Alle Bauteile'!D71="","",'Alle Bauteile'!D71)</f>
        <v>10.69</v>
      </c>
      <c r="D9" s="6">
        <f>IF(AND(ISNUMBER(B9),ISNUMBER(C9)),B9*C9,0)</f>
        <v>42.76</v>
      </c>
      <c r="E9" s="4" t="str">
        <f>IF('Alle Bauteile'!G71="","",'Alle Bauteile'!G71)</f>
        <v>https://www.amazon.de/gp/product/B07PX8ZFXN/ref=ox_sc_act_title_2?smid=AS8JK4HNTE2NO&amp;psc=1</v>
      </c>
      <c r="F9" s="4" t="s">
        <v>200</v>
      </c>
    </row>
    <row r="10" spans="1:6" x14ac:dyDescent="0.25">
      <c r="A10" s="3" t="str">
        <f>'Alle Bauteile'!A99</f>
        <v>USB-Hub</v>
      </c>
      <c r="B10" s="4">
        <f>IF('Alle Bauteile'!C99="","",IF('Alle Bauteile'!F99="x",4*'Alle Bauteile'!C99,'Alle Bauteile'!C99))</f>
        <v>1</v>
      </c>
      <c r="C10" s="6">
        <f>IF('Alle Bauteile'!D99="","",'Alle Bauteile'!D99)</f>
        <v>9.99</v>
      </c>
      <c r="D10" s="6">
        <f>IF(AND(ISNUMBER(B10),ISNUMBER(C10)),B10*C10,0)</f>
        <v>9.99</v>
      </c>
      <c r="E10" s="4" t="str">
        <f>IF('Alle Bauteile'!G99="","",'Alle Bauteile'!G99)</f>
        <v>https://www.amazon.de/Anker-Datenhub-Ultrabooks-weiteren-kompatiblen/dp/B00Y211AFM/</v>
      </c>
      <c r="F10" s="4" t="s">
        <v>200</v>
      </c>
    </row>
    <row r="11" spans="1:6" x14ac:dyDescent="0.25">
      <c r="A11" s="8" t="s">
        <v>201</v>
      </c>
      <c r="B11" s="4"/>
      <c r="C11" s="4"/>
      <c r="D11" s="6">
        <f>SUM(D6:D10)</f>
        <v>198.43</v>
      </c>
      <c r="E11" s="4"/>
      <c r="F11" s="4"/>
    </row>
    <row r="12" spans="1:6" x14ac:dyDescent="0.25">
      <c r="A12" s="3"/>
      <c r="B12" s="4"/>
      <c r="C12" s="4"/>
      <c r="D12" s="4"/>
      <c r="E12" s="4"/>
      <c r="F12" s="4"/>
    </row>
    <row r="13" spans="1:6" x14ac:dyDescent="0.25">
      <c r="A13" s="5" t="s">
        <v>11</v>
      </c>
      <c r="B13" s="4"/>
      <c r="C13" s="4"/>
      <c r="D13" s="4"/>
      <c r="E13" s="4"/>
      <c r="F13" s="4"/>
    </row>
    <row r="14" spans="1:6" x14ac:dyDescent="0.25">
      <c r="A14" s="3" t="str">
        <f>'Alle Bauteile'!A6</f>
        <v>Gelenkfuß M6x20, Teller 40mm mit Ant-Slip-Platte</v>
      </c>
      <c r="B14" s="4">
        <f>IF('Alle Bauteile'!C6="","",IF('Alle Bauteile'!F6="x",4*'Alle Bauteile'!C6,'Alle Bauteile'!C6))</f>
        <v>4</v>
      </c>
      <c r="C14" s="6">
        <f>IF('Alle Bauteile'!D6="","",'Alle Bauteile'!D6)</f>
        <v>1.83</v>
      </c>
      <c r="D14" s="6">
        <f t="shared" ref="D14:D59" si="0">IF(AND(ISNUMBER(B14),ISNUMBER(C14)),B14*C14,0)</f>
        <v>7.32</v>
      </c>
      <c r="E14" s="4" t="str">
        <f>IF('Alle Bauteile'!G6="","",'Alle Bauteile'!G6)</f>
        <v>https://www.dold-mechatronik.de/Gelenkfuss-Reihe-10-PA-Gewindestange-mit-Kugel-10mm-M6x20-Schluesselweite-10-Teller-40mm-mit-Anti-Slip-Platte-40-d385</v>
      </c>
      <c r="F14" s="4" t="s">
        <v>200</v>
      </c>
    </row>
    <row r="15" spans="1:6" x14ac:dyDescent="0.25">
      <c r="A15" s="3" t="str">
        <f>'Alle Bauteile'!A7</f>
        <v>Winkel 30 I-Typ inkl. Befestigungssatz</v>
      </c>
      <c r="B15" s="4">
        <f>IF('Alle Bauteile'!C7="","",IF('Alle Bauteile'!F7="x",4*'Alle Bauteile'!C7,'Alle Bauteile'!C7))</f>
        <v>22</v>
      </c>
      <c r="C15" s="6">
        <f>IF('Alle Bauteile'!D7="","",'Alle Bauteile'!D7)</f>
        <v>1.91</v>
      </c>
      <c r="D15" s="6">
        <f t="shared" si="0"/>
        <v>42.019999999999996</v>
      </c>
      <c r="E15" s="4" t="str">
        <f>IF('Alle Bauteile'!G7="","",'Alle Bauteile'!G7)</f>
        <v>https://www.dold-mechatronik.de/Winkel-30-I-Typ-Nut-6-inkl-Befestigungssatz-und-Abdeckkappe</v>
      </c>
      <c r="F15" s="4" t="s">
        <v>200</v>
      </c>
    </row>
    <row r="16" spans="1:6" x14ac:dyDescent="0.25">
      <c r="A16" s="3" t="str">
        <f>'Alle Bauteile'!A8</f>
        <v>Bügelgriff 100mm mit Befestigungsbohrungen</v>
      </c>
      <c r="B16" s="4">
        <f>IF('Alle Bauteile'!C8="","",IF('Alle Bauteile'!F8="x",4*'Alle Bauteile'!C8,'Alle Bauteile'!C8))</f>
        <v>1</v>
      </c>
      <c r="C16" s="6">
        <f>IF('Alle Bauteile'!D8="","",'Alle Bauteile'!D8)</f>
        <v>8.51</v>
      </c>
      <c r="D16" s="6">
        <f t="shared" si="0"/>
        <v>8.51</v>
      </c>
      <c r="E16" s="4" t="str">
        <f>IF('Alle Bauteile'!G8="","",'Alle Bauteile'!G8)</f>
        <v>https://www.dold-mechatronik.de/Buegelgriff-100mm-mit-Befestigungsbohrungen</v>
      </c>
      <c r="F16" s="4" t="s">
        <v>200</v>
      </c>
    </row>
    <row r="17" spans="1:6" x14ac:dyDescent="0.25">
      <c r="A17" s="3" t="str">
        <f>'Alle Bauteile'!A9</f>
        <v>Teleskopschienen Vollauszug 45 kg, 350 mm (1 Paar), DOLD HS-4613-350</v>
      </c>
      <c r="B17" s="4">
        <f>IF('Alle Bauteile'!C9="","",IF('Alle Bauteile'!F9="x",4*'Alle Bauteile'!C9,'Alle Bauteile'!C9))</f>
        <v>1</v>
      </c>
      <c r="C17" s="6">
        <f>IF('Alle Bauteile'!D9="","",'Alle Bauteile'!D9)</f>
        <v>10.84</v>
      </c>
      <c r="D17" s="6">
        <f t="shared" si="0"/>
        <v>10.84</v>
      </c>
      <c r="E17" s="4" t="str">
        <f>IF('Alle Bauteile'!G9="","",'Alle Bauteile'!G9)</f>
        <v>https://www.dold-mechatronik.de/Vollauszug-45kg-350mm-(1-Paar-Teleskopschienen)</v>
      </c>
      <c r="F17" s="4" t="s">
        <v>200</v>
      </c>
    </row>
    <row r="18" spans="1:6" x14ac:dyDescent="0.25">
      <c r="A18" s="3" t="str">
        <f>'Alle Bauteile'!A10</f>
        <v>Aluprofil I-Typ 80x16S Nut 8, 650 mm (Energieketten-Halter)</v>
      </c>
      <c r="B18" s="4">
        <f>IF('Alle Bauteile'!C10="","",IF('Alle Bauteile'!F10="x",4*'Alle Bauteile'!C10,'Alle Bauteile'!C10))</f>
        <v>2</v>
      </c>
      <c r="C18" s="6">
        <f>IF('Alle Bauteile'!D10="","",'Alle Bauteile'!D10)</f>
        <v>18.7</v>
      </c>
      <c r="D18" s="6">
        <f t="shared" si="0"/>
        <v>37.4</v>
      </c>
      <c r="E18" s="4" t="str">
        <f>IF('Alle Bauteile'!G10="","",'Alle Bauteile'!G10)</f>
        <v>https://www.dold-mechatronik.de/Aluminiumprofil-80x16S-I-Typ-Nut-8-schwer-22kg-m-Zuschnitt-50-6000mm</v>
      </c>
      <c r="F18" s="4" t="s">
        <v>200</v>
      </c>
    </row>
    <row r="19" spans="1:6" x14ac:dyDescent="0.25">
      <c r="A19" s="3" t="str">
        <f>'Alle Bauteile'!A11</f>
        <v>Aluprofil I-Typ 30x60x650</v>
      </c>
      <c r="B19" s="4">
        <f>IF('Alle Bauteile'!C11="","",IF('Alle Bauteile'!F11="x",4*'Alle Bauteile'!C11,'Alle Bauteile'!C11))</f>
        <v>2</v>
      </c>
      <c r="C19" s="6">
        <f>IF('Alle Bauteile'!D11="","",'Alle Bauteile'!D11)</f>
        <v>11.35</v>
      </c>
      <c r="D19" s="6">
        <f t="shared" si="0"/>
        <v>22.7</v>
      </c>
      <c r="E19" s="4" t="str">
        <f>IF('Alle Bauteile'!G11="","",'Alle Bauteile'!G11)</f>
        <v>https://www.dold-mechatronik.de/Aluminiumprofil-30x60L-I-Typ-Nut-6-ZUSCHNITT-bis-1200-mm-1700-EUR-m-030-EUR-pro-Schnitt</v>
      </c>
      <c r="F19" s="4" t="s">
        <v>200</v>
      </c>
    </row>
    <row r="20" spans="1:6" x14ac:dyDescent="0.25">
      <c r="A20" s="3" t="str">
        <f>'Alle Bauteile'!A12</f>
        <v>Aluprofil I-Typ 30x30x350</v>
      </c>
      <c r="B20" s="4">
        <f>IF('Alle Bauteile'!C12="","",IF('Alle Bauteile'!F12="x",4*'Alle Bauteile'!C12,'Alle Bauteile'!C12))</f>
        <v>10</v>
      </c>
      <c r="C20" s="6">
        <f>IF('Alle Bauteile'!D12="","",'Alle Bauteile'!D12)</f>
        <v>3.23</v>
      </c>
      <c r="D20" s="6">
        <f t="shared" si="0"/>
        <v>32.299999999999997</v>
      </c>
      <c r="E20" s="4" t="str">
        <f>IF('Alle Bauteile'!G12="","",'Alle Bauteile'!G12)</f>
        <v>https://www.dold-mechatronik.de/Aluminiumprofil-30x30L-I-Typ-Nut-6-ZUSCHNITT-bis-1200-mm-850-EUR-m-025-EUR-pro-Schnitt</v>
      </c>
      <c r="F20" s="4" t="s">
        <v>200</v>
      </c>
    </row>
    <row r="21" spans="1:6" x14ac:dyDescent="0.25">
      <c r="A21" s="3" t="str">
        <f>'Alle Bauteile'!A13</f>
        <v>Aluprofil I-Typ 30x30x590</v>
      </c>
      <c r="B21" s="4">
        <f>IF('Alle Bauteile'!C13="","",IF('Alle Bauteile'!F13="x",4*'Alle Bauteile'!C13,'Alle Bauteile'!C13))</f>
        <v>3</v>
      </c>
      <c r="C21" s="6">
        <f>IF('Alle Bauteile'!D13="","",'Alle Bauteile'!D13)</f>
        <v>5.27</v>
      </c>
      <c r="D21" s="6">
        <f t="shared" si="0"/>
        <v>15.809999999999999</v>
      </c>
      <c r="E21" s="4" t="str">
        <f>IF('Alle Bauteile'!G13="","",'Alle Bauteile'!G13)</f>
        <v>https://www.dold-mechatronik.de/Aluminiumprofil-30x30L-I-Typ-Nut-6-ZUSCHNITT-bis-1200-mm-850-EUR-m-025-EUR-pro-Schnitt</v>
      </c>
      <c r="F21" s="4" t="s">
        <v>200</v>
      </c>
    </row>
    <row r="22" spans="1:6" x14ac:dyDescent="0.25">
      <c r="A22" s="3" t="str">
        <f>'Alle Bauteile'!A14</f>
        <v>Aluprofil I-Typ 30x30x564</v>
      </c>
      <c r="B22" s="4">
        <f>IF('Alle Bauteile'!C14="","",IF('Alle Bauteile'!F14="x",4*'Alle Bauteile'!C14,'Alle Bauteile'!C14))</f>
        <v>2</v>
      </c>
      <c r="C22" s="6">
        <f>IF('Alle Bauteile'!D14="","",'Alle Bauteile'!D14)</f>
        <v>5.04</v>
      </c>
      <c r="D22" s="6">
        <f t="shared" si="0"/>
        <v>10.08</v>
      </c>
      <c r="E22" s="4" t="str">
        <f>IF('Alle Bauteile'!G14="","",'Alle Bauteile'!G14)</f>
        <v>https://www.dold-mechatronik.de/Aluminiumprofil-30x30L-I-Typ-Nut-6-ZUSCHNITT-bis-1200-mm-850-EUR-m-025-EUR-pro-Schnitt</v>
      </c>
      <c r="F22" s="4" t="s">
        <v>200</v>
      </c>
    </row>
    <row r="23" spans="1:6" x14ac:dyDescent="0.25">
      <c r="A23" s="3" t="str">
        <f>'Alle Bauteile'!A17</f>
        <v>Profilschienenführung, MR12, 600mm, Edelstahl</v>
      </c>
      <c r="B23" s="4">
        <f>IF('Alle Bauteile'!C17="","",IF('Alle Bauteile'!F17="x",4*'Alle Bauteile'!C17,'Alle Bauteile'!C17))</f>
        <v>2</v>
      </c>
      <c r="C23" s="6">
        <f>IF('Alle Bauteile'!D17="","",'Alle Bauteile'!D17)</f>
        <v>82.2</v>
      </c>
      <c r="D23" s="6">
        <f t="shared" si="0"/>
        <v>164.4</v>
      </c>
      <c r="E23" s="4" t="str">
        <f>IF('Alle Bauteile'!G17="","",'Alle Bauteile'!G17)</f>
        <v>https://www.dold-mechatronik.de/Linearfuehrung-MR-12-M-Edelstahl-600mm</v>
      </c>
      <c r="F23" s="4" t="s">
        <v>200</v>
      </c>
    </row>
    <row r="24" spans="1:6" x14ac:dyDescent="0.25">
      <c r="A24" s="3" t="str">
        <f>'Alle Bauteile'!A19</f>
        <v>Teller 40 für Gelenkstellfuß Kugel 10 mm, Kunststoff (Ersatz)</v>
      </c>
      <c r="B24" s="4">
        <f>IF('Alle Bauteile'!C19="","",IF('Alle Bauteile'!F19="x",4*'Alle Bauteile'!C19,'Alle Bauteile'!C19))</f>
        <v>1</v>
      </c>
      <c r="C24" s="6">
        <f>IF('Alle Bauteile'!D19="","",'Alle Bauteile'!D19)</f>
        <v>0.53</v>
      </c>
      <c r="D24" s="6">
        <f t="shared" si="0"/>
        <v>0.53</v>
      </c>
      <c r="E24" s="4" t="str">
        <f>IF('Alle Bauteile'!G19="","",'Alle Bauteile'!G19)</f>
        <v>https://www.dold-mechatronik.de/Teller-40-fuer-Gelenkstellfuss-Kugel-10mm-Kunststoff</v>
      </c>
      <c r="F24" s="4" t="s">
        <v>200</v>
      </c>
    </row>
    <row r="25" spans="1:6" x14ac:dyDescent="0.25">
      <c r="A25" s="3" t="str">
        <f>'Alle Bauteile'!A46</f>
        <v>Aluprofil 40x16S I-Typ, 436mm</v>
      </c>
      <c r="B25" s="4">
        <f>IF('Alle Bauteile'!C46="","",IF('Alle Bauteile'!F46="x",4*'Alle Bauteile'!C46,'Alle Bauteile'!C46))</f>
        <v>4</v>
      </c>
      <c r="C25" s="6">
        <f>IF('Alle Bauteile'!D46="","",'Alle Bauteile'!D46)</f>
        <v>4.83</v>
      </c>
      <c r="D25" s="6">
        <f t="shared" si="0"/>
        <v>19.32</v>
      </c>
      <c r="E25" s="4" t="str">
        <f>IF('Alle Bauteile'!G46="","",'Alle Bauteile'!G46)</f>
        <v>https://www.dold-mechatronik.de/Aluminiumprofil-40x16S-I-Typ-Nut-8-ZUSCHNITT-bis-1200-mm-1050-EUR-m-025-EUR-pro-Schnitt</v>
      </c>
      <c r="F25" s="4" t="s">
        <v>200</v>
      </c>
    </row>
    <row r="26" spans="1:6" x14ac:dyDescent="0.25">
      <c r="A26" s="3" t="str">
        <f>'Alle Bauteile'!A49</f>
        <v>Wellenhalter Flansch SHF10, D10</v>
      </c>
      <c r="B26" s="4">
        <f>IF('Alle Bauteile'!C49="","",IF('Alle Bauteile'!F49="x",4*'Alle Bauteile'!C49,'Alle Bauteile'!C49))</f>
        <v>16</v>
      </c>
      <c r="C26" s="6">
        <f>IF('Alle Bauteile'!D49="","",'Alle Bauteile'!D49)</f>
        <v>3.8</v>
      </c>
      <c r="D26" s="6">
        <f t="shared" si="0"/>
        <v>60.8</v>
      </c>
      <c r="E26" s="4" t="str">
        <f>IF('Alle Bauteile'!G49="","",'Alle Bauteile'!G49)</f>
        <v>https://www.dold-mechatronik.de/Wellenhalter-Flansch-SHF-Ausfuehrung-waehlbar</v>
      </c>
      <c r="F26" s="4" t="s">
        <v>200</v>
      </c>
    </row>
    <row r="27" spans="1:6" x14ac:dyDescent="0.25">
      <c r="A27" s="3" t="str">
        <f>'Alle Bauteile'!A50</f>
        <v>Präzisionswelle D10, 450mm mit M6 Gewinde</v>
      </c>
      <c r="B27" s="4">
        <f>IF('Alle Bauteile'!C50="","",IF('Alle Bauteile'!F50="x",4*'Alle Bauteile'!C50,'Alle Bauteile'!C50))</f>
        <v>8</v>
      </c>
      <c r="C27" s="6">
        <f>IF('Alle Bauteile'!D50="","",'Alle Bauteile'!D50)</f>
        <v>8.6999999999999993</v>
      </c>
      <c r="D27" s="6">
        <f t="shared" si="0"/>
        <v>69.599999999999994</v>
      </c>
      <c r="E27" s="4" t="str">
        <f>IF('Alle Bauteile'!G50="","",'Alle Bauteile'!G50)</f>
        <v>https://www.dold-mechatronik.de/Praezisionswelle-10mm-h6-geschliffen-gehaertet-450mm-mit-Gewindebohrungen-M5x20</v>
      </c>
      <c r="F27" s="4" t="s">
        <v>200</v>
      </c>
    </row>
    <row r="28" spans="1:6" x14ac:dyDescent="0.25">
      <c r="A28" s="3" t="str">
        <f>'Alle Bauteile'!A64</f>
        <v>Vollkunststoffgleitlager RJMP DryLin igus, D10</v>
      </c>
      <c r="B28" s="4">
        <f>IF('Alle Bauteile'!C64="","",IF('Alle Bauteile'!F64="x",4*'Alle Bauteile'!C64,'Alle Bauteile'!C64))</f>
        <v>16</v>
      </c>
      <c r="C28" s="6">
        <f>IF('Alle Bauteile'!D64="","",'Alle Bauteile'!D64)</f>
        <v>4.2</v>
      </c>
      <c r="D28" s="6">
        <f t="shared" si="0"/>
        <v>67.2</v>
      </c>
      <c r="E28" s="4" t="str">
        <f>IF('Alle Bauteile'!G64="","",'Alle Bauteile'!G64)</f>
        <v>https://www.dold-mechatronik.de/Vollkunststofflager-RJMP-01-10-DryLinZ-von-igusZ</v>
      </c>
      <c r="F28" s="4" t="s">
        <v>200</v>
      </c>
    </row>
    <row r="29" spans="1:6" x14ac:dyDescent="0.25">
      <c r="A29" s="3" t="str">
        <f>'Alle Bauteile'!A65</f>
        <v>Sicherungsring Bohrung DIN 472, D22</v>
      </c>
      <c r="B29" s="4">
        <f>IF('Alle Bauteile'!C65="","",IF('Alle Bauteile'!F65="x",4*'Alle Bauteile'!C65,'Alle Bauteile'!C65))</f>
        <v>16</v>
      </c>
      <c r="C29" s="6">
        <f>IF('Alle Bauteile'!D65="","",'Alle Bauteile'!D65)</f>
        <v>0.15</v>
      </c>
      <c r="D29" s="6">
        <f t="shared" si="0"/>
        <v>2.4</v>
      </c>
      <c r="E29" s="4" t="str">
        <f>IF('Alle Bauteile'!G65="","",'Alle Bauteile'!G65)</f>
        <v>https://www.dold-mechatronik.de/DIN-472-Form-I-Sicherungsring-fuer-Bohrungen-Stahl-blank-I22</v>
      </c>
      <c r="F29" s="4" t="s">
        <v>200</v>
      </c>
    </row>
    <row r="30" spans="1:6" x14ac:dyDescent="0.25">
      <c r="A30" s="3" t="str">
        <f>'Alle Bauteile'!A67</f>
        <v>Zahnriemenrad GT2 6mm, 16 Zähne, Bohrung 5 mm (X, Y, Z)</v>
      </c>
      <c r="B30" s="4">
        <f>IF('Alle Bauteile'!C67="","",IF('Alle Bauteile'!F67="x",4*'Alle Bauteile'!C67,'Alle Bauteile'!C67))</f>
        <v>16</v>
      </c>
      <c r="C30" s="6">
        <f>IF('Alle Bauteile'!D67="","",'Alle Bauteile'!D67)</f>
        <v>2.9</v>
      </c>
      <c r="D30" s="6">
        <f t="shared" si="0"/>
        <v>46.4</v>
      </c>
      <c r="E30" s="4" t="str">
        <f>IF('Alle Bauteile'!G67="","",'Alle Bauteile'!G67)</f>
        <v>https://www.dold-mechatronik.de/Zahnriemenrad-GT2-6mm-breit-16-Zaehne-Bohrung-500mm-H7-mit-Klemmschrauben</v>
      </c>
      <c r="F30" s="4" t="s">
        <v>200</v>
      </c>
    </row>
    <row r="31" spans="1:6" x14ac:dyDescent="0.25">
      <c r="A31" s="3" t="str">
        <f>'Alle Bauteile'!A68</f>
        <v>Umlenkrolle GT2 6mm, 16 Zähne, mit Kugellager, Bohrung 3 mm (X, Y, Z)</v>
      </c>
      <c r="B31" s="4">
        <f>IF('Alle Bauteile'!C68="","",IF('Alle Bauteile'!F68="x",4*'Alle Bauteile'!C68,'Alle Bauteile'!C68))</f>
        <v>16</v>
      </c>
      <c r="C31" s="6">
        <f>IF('Alle Bauteile'!D68="","",'Alle Bauteile'!D68)</f>
        <v>3.2</v>
      </c>
      <c r="D31" s="6">
        <f t="shared" si="0"/>
        <v>51.2</v>
      </c>
      <c r="E31" s="4" t="str">
        <f>IF('Alle Bauteile'!G68="","",'Alle Bauteile'!G68)</f>
        <v>https://www.dold-mechatronik.de/Umlenkrolle-Zahnriemenrad-mit-Kugellager-GT2-6mm-breit-16-Zaehne-Bohrung-300mm</v>
      </c>
      <c r="F31" s="4" t="s">
        <v>200</v>
      </c>
    </row>
    <row r="32" spans="1:6" x14ac:dyDescent="0.25">
      <c r="A32" s="3" t="str">
        <f>'Alle Bauteile'!A69</f>
        <v>Zahnriemen GT2, 6 mm breit, je 1 Meter (X, Y, Z)</v>
      </c>
      <c r="B32" s="4">
        <f>IF('Alle Bauteile'!C69="","",IF('Alle Bauteile'!F69="x",4*'Alle Bauteile'!C69,'Alle Bauteile'!C69))</f>
        <v>20</v>
      </c>
      <c r="C32" s="6">
        <f>IF('Alle Bauteile'!D69="","",'Alle Bauteile'!D69)</f>
        <v>2.5</v>
      </c>
      <c r="D32" s="6">
        <f t="shared" si="0"/>
        <v>50</v>
      </c>
      <c r="E32" s="4" t="str">
        <f>IF('Alle Bauteile'!G69="","",'Alle Bauteile'!G69)</f>
        <v>https://www.dold-mechatronik.de/Zahnriemen-GT2-Breite-6mm-Laenge-1-Meter</v>
      </c>
      <c r="F32" s="4" t="s">
        <v>200</v>
      </c>
    </row>
    <row r="33" spans="1:6" x14ac:dyDescent="0.25">
      <c r="A33" s="3" t="str">
        <f>'Alle Bauteile'!A81</f>
        <v>Profilschienenführung, MR12, 150mm, Edelstahl</v>
      </c>
      <c r="B33" s="4">
        <f>IF('Alle Bauteile'!C81="","",IF('Alle Bauteile'!F81="x",4*'Alle Bauteile'!C81,'Alle Bauteile'!C81))</f>
        <v>4</v>
      </c>
      <c r="C33" s="6">
        <f>IF('Alle Bauteile'!D81="","",'Alle Bauteile'!D81)</f>
        <v>20.55</v>
      </c>
      <c r="D33" s="6">
        <f t="shared" si="0"/>
        <v>82.2</v>
      </c>
      <c r="E33" s="4" t="str">
        <f>IF('Alle Bauteile'!G81="","",'Alle Bauteile'!G81)</f>
        <v>https://www.dold-mechatronik.de/Linearfuehrung-MR-12-M-Edelstahl-150mm</v>
      </c>
      <c r="F33" s="4" t="s">
        <v>200</v>
      </c>
    </row>
    <row r="34" spans="1:6" x14ac:dyDescent="0.25">
      <c r="A34" s="3" t="str">
        <f>'Alle Bauteile'!A91</f>
        <v>Schaltnetzteil Mean Well SDR-240-24, Hutschiene, 24 V / 10 A / 240 W</v>
      </c>
      <c r="B34" s="4">
        <f>IF('Alle Bauteile'!C91="","",IF('Alle Bauteile'!F91="x",4*'Alle Bauteile'!C91,'Alle Bauteile'!C91))</f>
        <v>1</v>
      </c>
      <c r="C34" s="6">
        <f>IF('Alle Bauteile'!D91="","",'Alle Bauteile'!D91)</f>
        <v>84.79</v>
      </c>
      <c r="D34" s="6">
        <f t="shared" si="0"/>
        <v>84.79</v>
      </c>
      <c r="E34" s="4" t="str">
        <f>IF('Alle Bauteile'!G91="","",'Alle Bauteile'!G91)</f>
        <v>https://www.dold-mechatronik.de/Switching-power-supply-DIN-rail-240-W-24-V-10-A</v>
      </c>
      <c r="F34" s="4" t="s">
        <v>200</v>
      </c>
    </row>
    <row r="35" spans="1:6" x14ac:dyDescent="0.25">
      <c r="A35" s="3" t="str">
        <f>'Alle Bauteile'!A116</f>
        <v>DIN 912 (ISO 4762) Zylinderschraube M3x8, A2</v>
      </c>
      <c r="B35" s="4">
        <f>IF('Alle Bauteile'!C116="","",IF('Alle Bauteile'!F116="x",4*'Alle Bauteile'!C116,'Alle Bauteile'!C116))</f>
        <v>58</v>
      </c>
      <c r="C35" s="6" t="str">
        <f>IF('Alle Bauteile'!D116="","",'Alle Bauteile'!D116)</f>
        <v/>
      </c>
      <c r="D35" s="6">
        <f t="shared" si="0"/>
        <v>0</v>
      </c>
      <c r="E35" s="4" t="str">
        <f>IF('Alle Bauteile'!G116="","",'Alle Bauteile'!G116)</f>
        <v>https://www.dold-mechatronik.de/DIN-912-Zylinderschraube-mit-Innensechskant,-Edelstahl-A2</v>
      </c>
      <c r="F35" s="4" t="s">
        <v>200</v>
      </c>
    </row>
    <row r="36" spans="1:6" x14ac:dyDescent="0.25">
      <c r="A36" s="3" t="str">
        <f>'Alle Bauteile'!A117</f>
        <v>DIN 912 (ISO 4762) Zylinderschraube M3x10, A2</v>
      </c>
      <c r="B36" s="4">
        <f>IF('Alle Bauteile'!C117="","",IF('Alle Bauteile'!F117="x",4*'Alle Bauteile'!C117,'Alle Bauteile'!C117))</f>
        <v>66</v>
      </c>
      <c r="C36" s="6" t="str">
        <f>IF('Alle Bauteile'!D117="","",'Alle Bauteile'!D117)</f>
        <v/>
      </c>
      <c r="D36" s="6">
        <f t="shared" si="0"/>
        <v>0</v>
      </c>
      <c r="E36" s="4" t="str">
        <f>IF('Alle Bauteile'!G117="","",'Alle Bauteile'!G117)</f>
        <v>https://www.dold-mechatronik.de/DIN-912-Zylinderschraube-mit-Innensechskant,-Edelstahl-A2</v>
      </c>
      <c r="F36" s="4" t="s">
        <v>200</v>
      </c>
    </row>
    <row r="37" spans="1:6" x14ac:dyDescent="0.25">
      <c r="A37" s="3" t="str">
        <f>'Alle Bauteile'!A118</f>
        <v>DIN 912 (ISO 4762) Zylinderschraube M3x12, A2</v>
      </c>
      <c r="B37" s="4">
        <f>IF('Alle Bauteile'!C118="","",IF('Alle Bauteile'!F118="x",4*'Alle Bauteile'!C118,'Alle Bauteile'!C118))</f>
        <v>10</v>
      </c>
      <c r="C37" s="6" t="str">
        <f>IF('Alle Bauteile'!D118="","",'Alle Bauteile'!D118)</f>
        <v/>
      </c>
      <c r="D37" s="6">
        <f t="shared" si="0"/>
        <v>0</v>
      </c>
      <c r="E37" s="4" t="str">
        <f>IF('Alle Bauteile'!G118="","",'Alle Bauteile'!G118)</f>
        <v>https://www.dold-mechatronik.de/DIN-912-Zylinderschraube-mit-Innensechskant,-Edelstahl-A2</v>
      </c>
      <c r="F37" s="4" t="s">
        <v>200</v>
      </c>
    </row>
    <row r="38" spans="1:6" x14ac:dyDescent="0.25">
      <c r="A38" s="3" t="str">
        <f>'Alle Bauteile'!A119</f>
        <v>DIN 912 (ISO 4762) Zylinderschraube M3x14, A2</v>
      </c>
      <c r="B38" s="4">
        <f>IF('Alle Bauteile'!C119="","",IF('Alle Bauteile'!F119="x",4*'Alle Bauteile'!C119,'Alle Bauteile'!C119))</f>
        <v>6</v>
      </c>
      <c r="C38" s="6" t="str">
        <f>IF('Alle Bauteile'!D119="","",'Alle Bauteile'!D119)</f>
        <v/>
      </c>
      <c r="D38" s="6">
        <f t="shared" si="0"/>
        <v>0</v>
      </c>
      <c r="E38" s="4" t="str">
        <f>IF('Alle Bauteile'!G119="","",'Alle Bauteile'!G119)</f>
        <v>https://www.dold-mechatronik.de/DIN-912-Zylinderschraube-mit-Innensechskant,-Edelstahl-A2</v>
      </c>
      <c r="F38" s="4" t="s">
        <v>200</v>
      </c>
    </row>
    <row r="39" spans="1:6" x14ac:dyDescent="0.25">
      <c r="A39" s="3" t="str">
        <f>'Alle Bauteile'!A120</f>
        <v>DIN 912 (ISO 4762) Zylinderschraube M3x16, A2</v>
      </c>
      <c r="B39" s="4">
        <f>IF('Alle Bauteile'!C120="","",IF('Alle Bauteile'!F120="x",4*'Alle Bauteile'!C120,'Alle Bauteile'!C120))</f>
        <v>22</v>
      </c>
      <c r="C39" s="6" t="str">
        <f>IF('Alle Bauteile'!D120="","",'Alle Bauteile'!D120)</f>
        <v/>
      </c>
      <c r="D39" s="6">
        <f t="shared" si="0"/>
        <v>0</v>
      </c>
      <c r="E39" s="4" t="str">
        <f>IF('Alle Bauteile'!G120="","",'Alle Bauteile'!G120)</f>
        <v>https://www.dold-mechatronik.de/DIN-912-Zylinderschraube-mit-Innensechskant,-Edelstahl-A2</v>
      </c>
      <c r="F39" s="4" t="s">
        <v>200</v>
      </c>
    </row>
    <row r="40" spans="1:6" x14ac:dyDescent="0.25">
      <c r="A40" s="3" t="str">
        <f>'Alle Bauteile'!A121</f>
        <v>DIN 912 (ISO 4762) Zylinderschraube M3x18, A2</v>
      </c>
      <c r="B40" s="4">
        <f>IF('Alle Bauteile'!C121="","",IF('Alle Bauteile'!F121="x",4*'Alle Bauteile'!C121,'Alle Bauteile'!C121))</f>
        <v>36</v>
      </c>
      <c r="C40" s="6" t="str">
        <f>IF('Alle Bauteile'!D121="","",'Alle Bauteile'!D121)</f>
        <v/>
      </c>
      <c r="D40" s="6">
        <f t="shared" si="0"/>
        <v>0</v>
      </c>
      <c r="E40" s="4" t="str">
        <f>IF('Alle Bauteile'!G121="","",'Alle Bauteile'!G121)</f>
        <v>https://www.dold-mechatronik.de/DIN-912-Zylinderschraube-mit-Innensechskant,-Edelstahl-A2</v>
      </c>
      <c r="F40" s="4" t="s">
        <v>200</v>
      </c>
    </row>
    <row r="41" spans="1:6" x14ac:dyDescent="0.25">
      <c r="A41" s="3" t="str">
        <f>'Alle Bauteile'!A122</f>
        <v>DIN 912 (ISO 4762) Zylinderschraube M3x20, A2</v>
      </c>
      <c r="B41" s="4">
        <f>IF('Alle Bauteile'!C122="","",IF('Alle Bauteile'!F122="x",4*'Alle Bauteile'!C122,'Alle Bauteile'!C122))</f>
        <v>6</v>
      </c>
      <c r="C41" s="6" t="str">
        <f>IF('Alle Bauteile'!D122="","",'Alle Bauteile'!D122)</f>
        <v/>
      </c>
      <c r="D41" s="6">
        <f t="shared" si="0"/>
        <v>0</v>
      </c>
      <c r="E41" s="4" t="str">
        <f>IF('Alle Bauteile'!G122="","",'Alle Bauteile'!G122)</f>
        <v>https://www.dold-mechatronik.de/DIN-912-Zylinderschraube-mit-Innensechskant,-Edelstahl-A2</v>
      </c>
      <c r="F41" s="4" t="s">
        <v>200</v>
      </c>
    </row>
    <row r="42" spans="1:6" x14ac:dyDescent="0.25">
      <c r="A42" s="3" t="str">
        <f>'Alle Bauteile'!A123</f>
        <v>DIN 912 (ISO 4762) Zylinderschraube M3x30, A2</v>
      </c>
      <c r="B42" s="4">
        <f>IF('Alle Bauteile'!C123="","",IF('Alle Bauteile'!F123="x",4*'Alle Bauteile'!C123,'Alle Bauteile'!C123))</f>
        <v>10</v>
      </c>
      <c r="C42" s="6" t="str">
        <f>IF('Alle Bauteile'!D123="","",'Alle Bauteile'!D123)</f>
        <v/>
      </c>
      <c r="D42" s="6">
        <f t="shared" si="0"/>
        <v>0</v>
      </c>
      <c r="E42" s="4" t="str">
        <f>IF('Alle Bauteile'!G123="","",'Alle Bauteile'!G123)</f>
        <v>https://www.dold-mechatronik.de/DIN-912-Zylinderschraube-mit-Innensechskant,-Edelstahl-A2</v>
      </c>
      <c r="F42" s="4" t="s">
        <v>200</v>
      </c>
    </row>
    <row r="43" spans="1:6" x14ac:dyDescent="0.25">
      <c r="A43" s="3" t="str">
        <f>'Alle Bauteile'!A124</f>
        <v>DIN 912 (ISO 4762) Zylinderschraube M4x10, A2</v>
      </c>
      <c r="B43" s="4">
        <f>IF('Alle Bauteile'!C124="","",IF('Alle Bauteile'!F124="x",4*'Alle Bauteile'!C124,'Alle Bauteile'!C124))</f>
        <v>3</v>
      </c>
      <c r="C43" s="6" t="str">
        <f>IF('Alle Bauteile'!D124="","",'Alle Bauteile'!D124)</f>
        <v/>
      </c>
      <c r="D43" s="6">
        <f t="shared" si="0"/>
        <v>0</v>
      </c>
      <c r="E43" s="4" t="str">
        <f>IF('Alle Bauteile'!G124="","",'Alle Bauteile'!G124)</f>
        <v>https://www.dold-mechatronik.de/DIN-912-Zylinderschraube-mit-Innensechskant,-Edelstahl-A2</v>
      </c>
      <c r="F43" s="4" t="s">
        <v>200</v>
      </c>
    </row>
    <row r="44" spans="1:6" x14ac:dyDescent="0.25">
      <c r="A44" s="3" t="str">
        <f>'Alle Bauteile'!A125</f>
        <v>DIN 912 (ISO 4762) Zylinderschraube M4x20, A2</v>
      </c>
      <c r="B44" s="4">
        <f>IF('Alle Bauteile'!C125="","",IF('Alle Bauteile'!F125="x",4*'Alle Bauteile'!C125,'Alle Bauteile'!C125))</f>
        <v>14</v>
      </c>
      <c r="C44" s="6" t="str">
        <f>IF('Alle Bauteile'!D125="","",'Alle Bauteile'!D125)</f>
        <v/>
      </c>
      <c r="D44" s="6">
        <f t="shared" si="0"/>
        <v>0</v>
      </c>
      <c r="E44" s="4" t="str">
        <f>IF('Alle Bauteile'!G125="","",'Alle Bauteile'!G125)</f>
        <v>https://www.dold-mechatronik.de/DIN-912-Zylinderschraube-mit-Innensechskant,-Edelstahl-A2</v>
      </c>
      <c r="F44" s="4" t="s">
        <v>200</v>
      </c>
    </row>
    <row r="45" spans="1:6" x14ac:dyDescent="0.25">
      <c r="A45" s="3" t="str">
        <f>'Alle Bauteile'!A126</f>
        <v>DIN 912 (ISO 4762) Zylinderschraube M4x30, A2</v>
      </c>
      <c r="B45" s="4">
        <f>IF('Alle Bauteile'!C126="","",IF('Alle Bauteile'!F126="x",4*'Alle Bauteile'!C126,'Alle Bauteile'!C126))</f>
        <v>31</v>
      </c>
      <c r="C45" s="6" t="str">
        <f>IF('Alle Bauteile'!D126="","",'Alle Bauteile'!D126)</f>
        <v/>
      </c>
      <c r="D45" s="6">
        <f t="shared" si="0"/>
        <v>0</v>
      </c>
      <c r="E45" s="4" t="str">
        <f>IF('Alle Bauteile'!G126="","",'Alle Bauteile'!G126)</f>
        <v>https://www.dold-mechatronik.de/DIN-912-Zylinderschraube-mit-Innensechskant,-Edelstahl-A2</v>
      </c>
      <c r="F45" s="4" t="s">
        <v>200</v>
      </c>
    </row>
    <row r="46" spans="1:6" x14ac:dyDescent="0.25">
      <c r="A46" s="3" t="str">
        <f>'Alle Bauteile'!A127</f>
        <v>DIN 912 (ISO 4762) Zylinderschraube M5x10, A2</v>
      </c>
      <c r="B46" s="4">
        <f>IF('Alle Bauteile'!C127="","",IF('Alle Bauteile'!F127="x",4*'Alle Bauteile'!C127,'Alle Bauteile'!C127))</f>
        <v>36</v>
      </c>
      <c r="C46" s="6" t="str">
        <f>IF('Alle Bauteile'!D127="","",'Alle Bauteile'!D127)</f>
        <v/>
      </c>
      <c r="D46" s="6">
        <f t="shared" si="0"/>
        <v>0</v>
      </c>
      <c r="E46" s="4" t="str">
        <f>IF('Alle Bauteile'!G127="","",'Alle Bauteile'!G127)</f>
        <v>https://www.dold-mechatronik.de/DIN-912-Zylinderschraube-mit-Innensechskant,-Edelstahl-A2</v>
      </c>
      <c r="F46" s="4" t="s">
        <v>200</v>
      </c>
    </row>
    <row r="47" spans="1:6" x14ac:dyDescent="0.25">
      <c r="A47" s="3" t="str">
        <f>'Alle Bauteile'!A128</f>
        <v>DIN 912 (ISO 4762) Zylinderschraube M5x14, 8.8 verzinkt</v>
      </c>
      <c r="B47" s="4">
        <f>IF('Alle Bauteile'!C128="","",IF('Alle Bauteile'!F128="x",4*'Alle Bauteile'!C128,'Alle Bauteile'!C128))</f>
        <v>6</v>
      </c>
      <c r="C47" s="6" t="str">
        <f>IF('Alle Bauteile'!D128="","",'Alle Bauteile'!D128)</f>
        <v/>
      </c>
      <c r="D47" s="6">
        <f t="shared" si="0"/>
        <v>0</v>
      </c>
      <c r="E47" s="4" t="str">
        <f>IF('Alle Bauteile'!G128="","",'Alle Bauteile'!G128)</f>
        <v>https://www.dold-mechatronik.de/DIN-912-Zylinderschraube-mit-Innensechskant-8.8-verzinkt</v>
      </c>
      <c r="F47" s="4" t="s">
        <v>200</v>
      </c>
    </row>
    <row r="48" spans="1:6" x14ac:dyDescent="0.25">
      <c r="A48" s="3" t="str">
        <f>'Alle Bauteile'!A129</f>
        <v>DIN 7991 (ISO 10642) Senkschraube M3x8, A2</v>
      </c>
      <c r="B48" s="4">
        <f>IF('Alle Bauteile'!C129="","",IF('Alle Bauteile'!F129="x",4*'Alle Bauteile'!C129,'Alle Bauteile'!C129))</f>
        <v>36</v>
      </c>
      <c r="C48" s="6" t="str">
        <f>IF('Alle Bauteile'!D129="","",'Alle Bauteile'!D129)</f>
        <v/>
      </c>
      <c r="D48" s="6">
        <f t="shared" si="0"/>
        <v>0</v>
      </c>
      <c r="E48" s="4" t="str">
        <f>IF('Alle Bauteile'!G129="","",'Alle Bauteile'!G129)</f>
        <v>https://www.dold-mechatronik.de/DIN-7991-Senkschraube-mit-Innensechskant,-Edelstahl-A2</v>
      </c>
      <c r="F48" s="4" t="s">
        <v>200</v>
      </c>
    </row>
    <row r="49" spans="1:6" x14ac:dyDescent="0.25">
      <c r="A49" s="3" t="str">
        <f>'Alle Bauteile'!A130</f>
        <v>DIN 7991 (ISO 10642) Senkschraube M6x12, A2</v>
      </c>
      <c r="B49" s="4">
        <f>IF('Alle Bauteile'!C130="","",IF('Alle Bauteile'!F130="x",4*'Alle Bauteile'!C130,'Alle Bauteile'!C130))</f>
        <v>18</v>
      </c>
      <c r="C49" s="6" t="str">
        <f>IF('Alle Bauteile'!D130="","",'Alle Bauteile'!D130)</f>
        <v/>
      </c>
      <c r="D49" s="6">
        <f t="shared" si="0"/>
        <v>0</v>
      </c>
      <c r="E49" s="4" t="str">
        <f>IF('Alle Bauteile'!G130="","",'Alle Bauteile'!G130)</f>
        <v>https://www.dold-mechatronik.de/DIN-7991-Senkschraube-mit-Innensechskant,-Edelstahl-A2</v>
      </c>
      <c r="F49" s="4" t="s">
        <v>200</v>
      </c>
    </row>
    <row r="50" spans="1:6" x14ac:dyDescent="0.25">
      <c r="A50" s="3" t="str">
        <f>'Alle Bauteile'!A131</f>
        <v>DIN 7991 (ISO 10642) Senkschraube M6x14, A2</v>
      </c>
      <c r="B50" s="4">
        <f>IF('Alle Bauteile'!C131="","",IF('Alle Bauteile'!F131="x",4*'Alle Bauteile'!C131,'Alle Bauteile'!C131))</f>
        <v>8</v>
      </c>
      <c r="C50" s="6" t="str">
        <f>IF('Alle Bauteile'!D131="","",'Alle Bauteile'!D131)</f>
        <v/>
      </c>
      <c r="D50" s="6">
        <f t="shared" si="0"/>
        <v>0</v>
      </c>
      <c r="E50" s="4" t="str">
        <f>IF('Alle Bauteile'!G131="","",'Alle Bauteile'!G131)</f>
        <v>https://www.dold-mechatronik.de/DIN-7991-Senkschraube-mit-Innensechskant,-Edelstahl-A2</v>
      </c>
      <c r="F50" s="4" t="s">
        <v>200</v>
      </c>
    </row>
    <row r="51" spans="1:6" x14ac:dyDescent="0.25">
      <c r="A51" s="3" t="str">
        <f>'Alle Bauteile'!A132</f>
        <v>DIN 7991 (ISO 10642) Senkschraube M6x20, A2</v>
      </c>
      <c r="B51" s="4">
        <f>IF('Alle Bauteile'!C132="","",IF('Alle Bauteile'!F132="x",4*'Alle Bauteile'!C132,'Alle Bauteile'!C132))</f>
        <v>25</v>
      </c>
      <c r="C51" s="6" t="str">
        <f>IF('Alle Bauteile'!D132="","",'Alle Bauteile'!D132)</f>
        <v/>
      </c>
      <c r="D51" s="6">
        <f t="shared" si="0"/>
        <v>0</v>
      </c>
      <c r="E51" s="4" t="str">
        <f>IF('Alle Bauteile'!G132="","",'Alle Bauteile'!G132)</f>
        <v>https://www.dold-mechatronik.de/DIN-7991-Senkschraube-mit-Innensechskant,-Edelstahl-A2</v>
      </c>
      <c r="F51" s="4" t="s">
        <v>200</v>
      </c>
    </row>
    <row r="52" spans="1:6" x14ac:dyDescent="0.25">
      <c r="A52" s="3" t="str">
        <f>'Alle Bauteile'!A133</f>
        <v>DIN 933 (ISO 4017) Sechskantschraube M4x20, A2</v>
      </c>
      <c r="B52" s="4">
        <f>IF('Alle Bauteile'!C133="","",IF('Alle Bauteile'!F133="x",4*'Alle Bauteile'!C133,'Alle Bauteile'!C133))</f>
        <v>10</v>
      </c>
      <c r="C52" s="6" t="str">
        <f>IF('Alle Bauteile'!D133="","",'Alle Bauteile'!D133)</f>
        <v/>
      </c>
      <c r="D52" s="6">
        <f t="shared" si="0"/>
        <v>0</v>
      </c>
      <c r="E52" s="4" t="str">
        <f>IF('Alle Bauteile'!G133="","",'Alle Bauteile'!G133)</f>
        <v>https://www.dold-mechatronik.de/DIN-933-A2-Edelstahl-Sechskantschraube-mit-Gewinde-bis-Kopf.-Ausfuehrung-waehlbar</v>
      </c>
      <c r="F52" s="4" t="s">
        <v>200</v>
      </c>
    </row>
    <row r="53" spans="1:6" x14ac:dyDescent="0.25">
      <c r="A53" s="3" t="str">
        <f>'Alle Bauteile'!A134</f>
        <v>DIN 934 (ISO 4032) Sechskantmutter M3, verzinkt</v>
      </c>
      <c r="B53" s="4">
        <f>IF('Alle Bauteile'!C134="","",IF('Alle Bauteile'!F134="x",4*'Alle Bauteile'!C134,'Alle Bauteile'!C134))</f>
        <v>40</v>
      </c>
      <c r="C53" s="6">
        <f>IF('Alle Bauteile'!D134="","",'Alle Bauteile'!D134)</f>
        <v>0.14000000000000001</v>
      </c>
      <c r="D53" s="6">
        <f t="shared" si="0"/>
        <v>5.6000000000000005</v>
      </c>
      <c r="E53" s="4" t="str">
        <f>IF('Alle Bauteile'!G134="","",'Alle Bauteile'!G134)</f>
        <v>https://www.dold-mechatronik.de/DIN-934-Sechskantmutter-.8-verzinkt-M4x07</v>
      </c>
      <c r="F53" s="4" t="s">
        <v>200</v>
      </c>
    </row>
    <row r="54" spans="1:6" x14ac:dyDescent="0.25">
      <c r="A54" s="3" t="str">
        <f>'Alle Bauteile'!A135</f>
        <v>DIN 934 (ISO 4032) Sechskantmutter M4, verzinkt</v>
      </c>
      <c r="B54" s="4">
        <f>IF('Alle Bauteile'!C135="","",IF('Alle Bauteile'!F135="x",4*'Alle Bauteile'!C135,'Alle Bauteile'!C135))</f>
        <v>53</v>
      </c>
      <c r="C54" s="6">
        <f>IF('Alle Bauteile'!D135="","",'Alle Bauteile'!D135)</f>
        <v>0.14000000000000001</v>
      </c>
      <c r="D54" s="6">
        <f t="shared" si="0"/>
        <v>7.4200000000000008</v>
      </c>
      <c r="E54" s="4" t="str">
        <f>IF('Alle Bauteile'!G135="","",'Alle Bauteile'!G135)</f>
        <v>https://www.dold-mechatronik.de/DIN-934-Sechskantmutter-.8-verzinkt-M4x07</v>
      </c>
      <c r="F54" s="4" t="s">
        <v>200</v>
      </c>
    </row>
    <row r="55" spans="1:6" x14ac:dyDescent="0.25">
      <c r="A55" s="3" t="str">
        <f>'Alle Bauteile'!A136</f>
        <v>DIN 934 (ISO 4032) Sechskantmutter M8, A2</v>
      </c>
      <c r="B55" s="4">
        <f>IF('Alle Bauteile'!C136="","",IF('Alle Bauteile'!F136="x",4*'Alle Bauteile'!C136,'Alle Bauteile'!C136))</f>
        <v>53</v>
      </c>
      <c r="C55" s="6">
        <f>IF('Alle Bauteile'!D136="","",'Alle Bauteile'!D136)</f>
        <v>0.53</v>
      </c>
      <c r="D55" s="6">
        <f t="shared" si="0"/>
        <v>28.09</v>
      </c>
      <c r="E55" s="4" t="str">
        <f>IF('Alle Bauteile'!G136="","",'Alle Bauteile'!G136)</f>
        <v>https://www.dold-mechatronik.de/Sechskantmutter-DIN-934-ISO-4032-M8-Edelstahl-A2</v>
      </c>
      <c r="F55" s="4" t="s">
        <v>200</v>
      </c>
    </row>
    <row r="56" spans="1:6" x14ac:dyDescent="0.25">
      <c r="A56" s="3" t="str">
        <f>'Alle Bauteile'!A137</f>
        <v>DIN 466 Rändelmutter hoch M4</v>
      </c>
      <c r="B56" s="4">
        <f>IF('Alle Bauteile'!C137="","",IF('Alle Bauteile'!F137="x",4*'Alle Bauteile'!C137,'Alle Bauteile'!C137))</f>
        <v>10</v>
      </c>
      <c r="C56" s="6" t="str">
        <f>IF('Alle Bauteile'!D137="","",'Alle Bauteile'!D137)</f>
        <v/>
      </c>
      <c r="D56" s="6">
        <f t="shared" si="0"/>
        <v>0</v>
      </c>
      <c r="E56" s="4" t="str">
        <f>IF('Alle Bauteile'!G137="","",'Alle Bauteile'!G137)</f>
        <v>https://www.dold-mechatronik.de/Hohe-Raendelmutter-Material-und-Groesse-waehlbar-NEU</v>
      </c>
      <c r="F56" s="4" t="s">
        <v>200</v>
      </c>
    </row>
    <row r="57" spans="1:6" x14ac:dyDescent="0.25">
      <c r="A57" s="3" t="str">
        <f>'Alle Bauteile'!A140</f>
        <v>Nutenstein Nut6, M5</v>
      </c>
      <c r="B57" s="4">
        <f>IF('Alle Bauteile'!C140="","",IF('Alle Bauteile'!F140="x",4*'Alle Bauteile'!C140,'Alle Bauteile'!C140))</f>
        <v>10</v>
      </c>
      <c r="C57" s="6">
        <f>IF('Alle Bauteile'!D140="","",'Alle Bauteile'!D140)</f>
        <v>0.39</v>
      </c>
      <c r="D57" s="6">
        <f t="shared" si="0"/>
        <v>3.9000000000000004</v>
      </c>
      <c r="E57" s="4" t="str">
        <f>IF('Alle Bauteile'!G140="","",'Alle Bauteile'!G140)</f>
        <v>https://www.dold-mechatronik.de/Nutenstein-mit-Steg-I-Typ-Nut-6-Gewindedurchmesser-M5</v>
      </c>
      <c r="F57" s="4" t="s">
        <v>200</v>
      </c>
    </row>
    <row r="58" spans="1:6" x14ac:dyDescent="0.25">
      <c r="A58" s="3" t="str">
        <f>'Alle Bauteile'!A141</f>
        <v>Nutenstein Nut6, M3</v>
      </c>
      <c r="B58" s="4">
        <f>IF('Alle Bauteile'!C141="","",IF('Alle Bauteile'!F141="x",4*'Alle Bauteile'!C141,'Alle Bauteile'!C141))</f>
        <v>46</v>
      </c>
      <c r="C58" s="6">
        <f>IF('Alle Bauteile'!D141="","",'Alle Bauteile'!D141)</f>
        <v>0.39</v>
      </c>
      <c r="D58" s="6">
        <f t="shared" si="0"/>
        <v>17.940000000000001</v>
      </c>
      <c r="E58" s="4" t="str">
        <f>IF('Alle Bauteile'!G141="","",'Alle Bauteile'!G141)</f>
        <v>https://www.dold-mechatronik.de/Nutenstein-mit-Steg-I-Typ-Nut-6-Gewindedurchmesser-M3</v>
      </c>
      <c r="F58" s="4" t="s">
        <v>200</v>
      </c>
    </row>
    <row r="59" spans="1:6" x14ac:dyDescent="0.25">
      <c r="A59" s="3" t="str">
        <f>'Alle Bauteile'!A142</f>
        <v>Unterlegscheiben M5</v>
      </c>
      <c r="B59" s="4">
        <f>IF('Alle Bauteile'!C142="","",IF('Alle Bauteile'!F142="x",4*'Alle Bauteile'!C142,'Alle Bauteile'!C142))</f>
        <v>16</v>
      </c>
      <c r="C59" s="6">
        <f>IF('Alle Bauteile'!D142="","",'Alle Bauteile'!D142)</f>
        <v>0.15</v>
      </c>
      <c r="D59" s="6">
        <f t="shared" si="0"/>
        <v>2.4</v>
      </c>
      <c r="E59" s="4" t="str">
        <f>IF('Alle Bauteile'!G142="","",'Alle Bauteile'!G142)</f>
        <v>https://www.dold-mechatronik.de/DIN-125-Form-A-Unterlegscheibe-Stahl-verzinkt-d53mm-D10mm</v>
      </c>
      <c r="F59" s="4" t="s">
        <v>200</v>
      </c>
    </row>
    <row r="60" spans="1:6" x14ac:dyDescent="0.25">
      <c r="A60" s="8" t="s">
        <v>202</v>
      </c>
      <c r="B60" s="4"/>
      <c r="C60" s="4"/>
      <c r="D60" s="6">
        <f>SUM(D14:D59)</f>
        <v>951.17000000000007</v>
      </c>
      <c r="E60" s="4"/>
      <c r="F60" s="4"/>
    </row>
    <row r="61" spans="1:6" x14ac:dyDescent="0.25">
      <c r="A61" s="3"/>
      <c r="B61" s="4"/>
      <c r="C61" s="4"/>
      <c r="D61" s="4"/>
      <c r="E61" s="4"/>
      <c r="F61" s="4"/>
    </row>
    <row r="62" spans="1:6" x14ac:dyDescent="0.25">
      <c r="A62" s="5" t="s">
        <v>67</v>
      </c>
      <c r="B62" s="4"/>
      <c r="C62" s="4"/>
      <c r="D62" s="4"/>
      <c r="E62" s="4"/>
      <c r="F62" s="4"/>
    </row>
    <row r="63" spans="1:6" x14ac:dyDescent="0.25">
      <c r="A63" s="3" t="str">
        <f>'Alle Bauteile'!A45</f>
        <v>Linearwagen MR12 MN-SS-V0-N</v>
      </c>
      <c r="B63" s="4">
        <f>IF('Alle Bauteile'!C45="","",IF('Alle Bauteile'!F45="x",4*'Alle Bauteile'!C45,'Alle Bauteile'!C45))</f>
        <v>8</v>
      </c>
      <c r="C63" s="6">
        <f>IF('Alle Bauteile'!D45="","",'Alle Bauteile'!D45)</f>
        <v>18.600000000000001</v>
      </c>
      <c r="D63" s="6">
        <f>IF(AND(ISNUMBER(B63),ISNUMBER(C63)),B63*C63,0)</f>
        <v>148.80000000000001</v>
      </c>
      <c r="E63" s="4" t="str">
        <f>IF('Alle Bauteile'!G45="","",'Alle Bauteile'!G45)</f>
        <v>https://www.motedis.com/shop/Dynamik-Lineareinheiten/Profilschienenfuehrungen-fuer-die-Linearbewegung/Profilschienenfuehrungen/Fuehrungswagen-Miniatur-MR12MN-SS-V0-N::6097.html</v>
      </c>
      <c r="F63" s="4" t="s">
        <v>200</v>
      </c>
    </row>
    <row r="64" spans="1:6" x14ac:dyDescent="0.25">
      <c r="A64" s="3" t="str">
        <f>'Alle Bauteile'!A70</f>
        <v>Linearwagen MR12 MN-SS-V0-N</v>
      </c>
      <c r="B64" s="4">
        <f>IF('Alle Bauteile'!C70="","",IF('Alle Bauteile'!F70="x",4*'Alle Bauteile'!C70,'Alle Bauteile'!C70))</f>
        <v>4</v>
      </c>
      <c r="C64" s="6">
        <f>IF('Alle Bauteile'!D70="","",'Alle Bauteile'!D70)</f>
        <v>18.600000000000001</v>
      </c>
      <c r="D64" s="6">
        <f>IF(AND(ISNUMBER(B64),ISNUMBER(C64)),B64*C64,0)</f>
        <v>74.400000000000006</v>
      </c>
      <c r="E64" s="4" t="str">
        <f>IF('Alle Bauteile'!G70="","",'Alle Bauteile'!G70)</f>
        <v>https://www.motedis.com/shop/Dynamik-Lineareinheiten/Profilschienenfuehrungen-fuer-die-Linearbewegung/Profilschienenfuehrungen/Fuehrungswagen-Miniatur-MR12MN-SS-V0-N::6097.html</v>
      </c>
      <c r="F64" s="4" t="s">
        <v>200</v>
      </c>
    </row>
    <row r="65" spans="1:6" x14ac:dyDescent="0.25">
      <c r="A65" s="8" t="s">
        <v>203</v>
      </c>
      <c r="B65" s="4"/>
      <c r="C65" s="4"/>
      <c r="D65" s="6">
        <f>SUM(D63:D64)</f>
        <v>223.20000000000002</v>
      </c>
      <c r="E65" s="4"/>
      <c r="F65" s="4"/>
    </row>
    <row r="66" spans="1:6" x14ac:dyDescent="0.25">
      <c r="A66" s="3"/>
      <c r="B66" s="4"/>
      <c r="C66" s="4"/>
      <c r="D66" s="4"/>
      <c r="E66" s="4"/>
      <c r="F66" s="4"/>
    </row>
    <row r="67" spans="1:6" x14ac:dyDescent="0.25">
      <c r="A67" s="5" t="s">
        <v>119</v>
      </c>
      <c r="B67" s="4"/>
      <c r="C67" s="4"/>
      <c r="D67" s="4"/>
      <c r="E67" s="4"/>
      <c r="F67" s="4"/>
    </row>
    <row r="68" spans="1:6" x14ac:dyDescent="0.25">
      <c r="A68" s="3" t="str">
        <f>'Alle Bauteile'!A89</f>
        <v>BIGTREETECH SKR V1.4 Turbo Mainboard (ohne Schrittmotortreiber)</v>
      </c>
      <c r="B68" s="4">
        <f>IF('Alle Bauteile'!C89="","",IF('Alle Bauteile'!F89="x",4*'Alle Bauteile'!C89,'Alle Bauteile'!C89))</f>
        <v>4</v>
      </c>
      <c r="C68" s="6">
        <f>IF('Alle Bauteile'!D89="","",'Alle Bauteile'!D89)</f>
        <v>49.95</v>
      </c>
      <c r="D68" s="6">
        <f>IF(AND(ISNUMBER(B68),ISNUMBER(C68)),B68*C68,0)</f>
        <v>199.8</v>
      </c>
      <c r="E68" s="4" t="str">
        <f>IF('Alle Bauteile'!G89="","",'Alle Bauteile'!G89)</f>
        <v>https://www.roboter-bausatz.de/p/btt-skr-1.4-turbo-32-bit-mainboard</v>
      </c>
      <c r="F68" s="4" t="s">
        <v>200</v>
      </c>
    </row>
    <row r="69" spans="1:6" x14ac:dyDescent="0.25">
      <c r="A69" s="3" t="str">
        <f>'Alle Bauteile'!A90</f>
        <v>BTT TMC2130 V3.0 SPI Schrittmotortreiber</v>
      </c>
      <c r="B69" s="4">
        <f>IF('Alle Bauteile'!C90="","",IF('Alle Bauteile'!F90="x",4*'Alle Bauteile'!C90,'Alle Bauteile'!C90))</f>
        <v>16</v>
      </c>
      <c r="C69" s="6">
        <f>IF('Alle Bauteile'!D90="","",'Alle Bauteile'!D90)</f>
        <v>13.65</v>
      </c>
      <c r="D69" s="6">
        <f>IF(AND(ISNUMBER(B69),ISNUMBER(C69)),B69*C69,0)</f>
        <v>218.4</v>
      </c>
      <c r="E69" s="4" t="str">
        <f>IF('Alle Bauteile'!G90="","",'Alle Bauteile'!G90)</f>
        <v>https://www.roboter-bausatz.de/p/btt-tmc2130-v3.0-spi-schrittmotortreiber</v>
      </c>
      <c r="F69" s="4" t="s">
        <v>200</v>
      </c>
    </row>
    <row r="70" spans="1:6" x14ac:dyDescent="0.25">
      <c r="A70" s="8" t="s">
        <v>204</v>
      </c>
      <c r="B70" s="4"/>
      <c r="C70" s="4"/>
      <c r="D70" s="6">
        <f>SUM(D68:D69)</f>
        <v>418.20000000000005</v>
      </c>
      <c r="E70" s="4"/>
      <c r="F70" s="4"/>
    </row>
    <row r="71" spans="1:6" x14ac:dyDescent="0.25">
      <c r="A71" s="3"/>
      <c r="B71" s="4"/>
      <c r="C71" s="4"/>
      <c r="D71" s="4"/>
      <c r="E71" s="4"/>
      <c r="F71" s="4"/>
    </row>
    <row r="72" spans="1:6" x14ac:dyDescent="0.25">
      <c r="A72" s="5" t="s">
        <v>57</v>
      </c>
      <c r="B72" s="4"/>
      <c r="C72" s="4"/>
      <c r="D72" s="4"/>
      <c r="E72" s="4"/>
      <c r="F72" s="4"/>
    </row>
    <row r="73" spans="1:6" x14ac:dyDescent="0.25">
      <c r="A73" s="3" t="str">
        <f>'Alle Bauteile'!A38</f>
        <v>Schrittmotor NEMA 14 – StepperOnline 14HS13-0804S</v>
      </c>
      <c r="B73" s="4">
        <f>IF('Alle Bauteile'!C38="","",IF('Alle Bauteile'!F38="x",4*'Alle Bauteile'!C38,'Alle Bauteile'!C38))</f>
        <v>8</v>
      </c>
      <c r="C73" s="6">
        <f>IF('Alle Bauteile'!D38="","",'Alle Bauteile'!D38)</f>
        <v>7.72</v>
      </c>
      <c r="D73" s="6">
        <f>IF(AND(ISNUMBER(B73),ISNUMBER(C73)),B73*C73,0)</f>
        <v>61.76</v>
      </c>
      <c r="E73" s="4" t="str">
        <f>IF('Alle Bauteile'!G38="","",'Alle Bauteile'!G38)</f>
        <v>https://www.omc-stepperonline.com/de/nema-14-bipolar-1-8deg-18ncm-25-5oz-in-0-8a-5-74v-35x35x34mm-4-draehte-14hs13-0804s</v>
      </c>
      <c r="F73" s="4" t="s">
        <v>200</v>
      </c>
    </row>
    <row r="74" spans="1:6" x14ac:dyDescent="0.25">
      <c r="A74" s="3" t="str">
        <f>'Alle Bauteile'!A48</f>
        <v>Schrittmotor NEMA 14 – StepperOnline 14HS13-0804S</v>
      </c>
      <c r="B74" s="4">
        <f>IF('Alle Bauteile'!C48="","",IF('Alle Bauteile'!F48="x",4*'Alle Bauteile'!C48,'Alle Bauteile'!C48))</f>
        <v>4</v>
      </c>
      <c r="C74" s="6">
        <f>IF('Alle Bauteile'!D48="","",'Alle Bauteile'!D48)</f>
        <v>7.72</v>
      </c>
      <c r="D74" s="6">
        <f>IF(AND(ISNUMBER(B74),ISNUMBER(C74)),B74*C74,0)</f>
        <v>30.88</v>
      </c>
      <c r="E74" s="4" t="str">
        <f>IF('Alle Bauteile'!G48="","",'Alle Bauteile'!G48)</f>
        <v>https://www.omc-stepperonline.com/de/nema-14-bipolar-1-8deg-18ncm-25-5oz-in-0-8a-5-74v-35x35x34mm-4-draehte-14hs13-0804s</v>
      </c>
      <c r="F74" s="4" t="s">
        <v>200</v>
      </c>
    </row>
    <row r="75" spans="1:6" x14ac:dyDescent="0.25">
      <c r="A75" s="3" t="str">
        <f>'Alle Bauteile'!A66</f>
        <v>Schrittmotor NEMA 14 – StepperOnline 14HS13-0804S</v>
      </c>
      <c r="B75" s="4">
        <f>IF('Alle Bauteile'!C66="","",IF('Alle Bauteile'!F66="x",4*'Alle Bauteile'!C66,'Alle Bauteile'!C66))</f>
        <v>4</v>
      </c>
      <c r="C75" s="6">
        <f>IF('Alle Bauteile'!D66="","",'Alle Bauteile'!D66)</f>
        <v>7.72</v>
      </c>
      <c r="D75" s="6">
        <f>IF(AND(ISNUMBER(B75),ISNUMBER(C75)),B75*C75,0)</f>
        <v>30.88</v>
      </c>
      <c r="E75" s="4" t="str">
        <f>IF('Alle Bauteile'!G66="","",'Alle Bauteile'!G66)</f>
        <v>https://www.omc-stepperonline.com/de/nema-14-bipolar-1-8deg-18ncm-25-5oz-in-0-8a-5-74v-35x35x34mm-4-draehte-14hs13-0804s</v>
      </c>
      <c r="F75" s="4" t="s">
        <v>200</v>
      </c>
    </row>
    <row r="76" spans="1:6" x14ac:dyDescent="0.25">
      <c r="A76" s="8" t="s">
        <v>205</v>
      </c>
      <c r="B76" s="4"/>
      <c r="C76" s="4"/>
      <c r="D76" s="6">
        <f>SUM(D73:D75)</f>
        <v>123.52</v>
      </c>
      <c r="E76" s="4"/>
      <c r="F76" s="4"/>
    </row>
    <row r="77" spans="1:6" x14ac:dyDescent="0.25">
      <c r="A77" s="3"/>
      <c r="B77" s="4"/>
      <c r="C77" s="4"/>
      <c r="D77" s="4"/>
      <c r="E77" s="4"/>
      <c r="F77" s="4"/>
    </row>
    <row r="78" spans="1:6" x14ac:dyDescent="0.25">
      <c r="A78" s="5" t="s">
        <v>100</v>
      </c>
      <c r="B78" s="4"/>
      <c r="C78" s="4"/>
      <c r="D78" s="4"/>
      <c r="E78" s="4"/>
      <c r="F78" s="4"/>
    </row>
    <row r="79" spans="1:6" x14ac:dyDescent="0.25">
      <c r="A79" s="3" t="str">
        <f>'Alle Bauteile'!A72</f>
        <v>USB-Mikroskop Toolcraft 2 MP, 20–200× (Ø33 × 110 mm)</v>
      </c>
      <c r="B79" s="4">
        <f>IF('Alle Bauteile'!C72="","",IF('Alle Bauteile'!F72="x",4*'Alle Bauteile'!C72,'Alle Bauteile'!C72))</f>
        <v>4</v>
      </c>
      <c r="C79" s="6">
        <f>IF('Alle Bauteile'!D72="","",'Alle Bauteile'!D72)</f>
        <v>57.41</v>
      </c>
      <c r="D79" s="6">
        <f>IF(AND(ISNUMBER(B79),ISNUMBER(C79)),B79*C79,0)</f>
        <v>229.64</v>
      </c>
      <c r="E79" s="4" t="str">
        <f>IF('Alle Bauteile'!G72="","",'Alle Bauteile'!G72)</f>
        <v>https://www.voelkner.de/products/1177903/TOOLCRAFT-USB-Mikroskop-2-Megapixel-Digitale-Vergroesserung-max.-200-x.html</v>
      </c>
      <c r="F79" s="4" t="s">
        <v>200</v>
      </c>
    </row>
    <row r="80" spans="1:6" x14ac:dyDescent="0.25">
      <c r="A80" s="8" t="s">
        <v>206</v>
      </c>
      <c r="B80" s="4"/>
      <c r="C80" s="4"/>
      <c r="D80" s="6">
        <f>SUM(D79:D79)</f>
        <v>229.64</v>
      </c>
      <c r="E80" s="4"/>
      <c r="F80" s="4"/>
    </row>
    <row r="81" spans="1:6" x14ac:dyDescent="0.25">
      <c r="A81" s="3"/>
      <c r="B81" s="4"/>
      <c r="C81" s="4"/>
      <c r="D81" s="4"/>
      <c r="E81" s="4"/>
      <c r="F81" s="4"/>
    </row>
    <row r="82" spans="1:6" x14ac:dyDescent="0.25">
      <c r="A82" s="5" t="s">
        <v>129</v>
      </c>
      <c r="B82" s="4"/>
      <c r="C82" s="4"/>
      <c r="D82" s="4"/>
      <c r="E82" s="4"/>
      <c r="F82" s="4"/>
    </row>
    <row r="83" spans="1:6" ht="30" x14ac:dyDescent="0.25">
      <c r="A83" s="3" t="str">
        <f>'Alle Bauteile'!A95</f>
        <v>Energiekette igus E2i.10.20.028.0 (X), 14 Glieder = 0,28 m, inkl. Anschlussset E2.100.20.34PZ.A2</v>
      </c>
      <c r="B83" s="4">
        <f>IF('Alle Bauteile'!C95="","",IF('Alle Bauteile'!F95="x",4*'Alle Bauteile'!C95,'Alle Bauteile'!C95))</f>
        <v>8</v>
      </c>
      <c r="C83" s="6">
        <f>IF('Alle Bauteile'!D95="","",'Alle Bauteile'!D95)</f>
        <v>15.874599999999999</v>
      </c>
      <c r="D83" s="6">
        <f>IF(AND(ISNUMBER(B83),ISNUMBER(C83)),B83*C83,0)</f>
        <v>126.99679999999999</v>
      </c>
      <c r="E83" s="4" t="str">
        <f>IF('Alle Bauteile'!G95="","",'Alle Bauteile'!G95)</f>
        <v>https://www.igus.de/product/series-E2i-10?artnr=E2I.10.20.028.0</v>
      </c>
      <c r="F83" s="4" t="s">
        <v>200</v>
      </c>
    </row>
    <row r="84" spans="1:6" ht="30" x14ac:dyDescent="0.25">
      <c r="A84" s="3" t="str">
        <f>'Alle Bauteile'!A96</f>
        <v>Energiekette igus E2i.10.10.028.0 (Y), 12 Glieder = 0,24 m, inkl. Anschlussset E2.100.10.34PZ.A2</v>
      </c>
      <c r="B84" s="4">
        <f>IF('Alle Bauteile'!C96="","",IF('Alle Bauteile'!F96="x",4*'Alle Bauteile'!C96,'Alle Bauteile'!C96))</f>
        <v>8</v>
      </c>
      <c r="C84" s="6">
        <f>IF('Alle Bauteile'!D96="","",'Alle Bauteile'!D96)</f>
        <v>14.089599999999999</v>
      </c>
      <c r="D84" s="6">
        <f>IF(AND(ISNUMBER(B84),ISNUMBER(C84)),B84*C84,0)</f>
        <v>112.71679999999999</v>
      </c>
      <c r="E84" s="4" t="str">
        <f>IF('Alle Bauteile'!G96="","",'Alle Bauteile'!G96)</f>
        <v>https://www.igus.de/product/series-E2i-10?artnr=E2i.10.10.028.0</v>
      </c>
      <c r="F84" s="4" t="s">
        <v>200</v>
      </c>
    </row>
    <row r="85" spans="1:6" x14ac:dyDescent="0.25">
      <c r="A85" s="8" t="s">
        <v>207</v>
      </c>
      <c r="B85" s="4"/>
      <c r="C85" s="4"/>
      <c r="D85" s="6">
        <f>SUM(D83:D84)</f>
        <v>239.71359999999999</v>
      </c>
      <c r="E85" s="4"/>
      <c r="F85" s="4"/>
    </row>
    <row r="86" spans="1:6" x14ac:dyDescent="0.25">
      <c r="A86" s="3"/>
      <c r="B86" s="4"/>
      <c r="C86" s="4"/>
      <c r="D86" s="4"/>
      <c r="E86" s="4"/>
      <c r="F86" s="4"/>
    </row>
    <row r="87" spans="1:6" x14ac:dyDescent="0.25">
      <c r="A87" s="5" t="s">
        <v>208</v>
      </c>
      <c r="B87" s="4"/>
      <c r="C87" s="4"/>
      <c r="D87" s="4"/>
      <c r="E87" s="4"/>
      <c r="F87" s="4"/>
    </row>
    <row r="88" spans="1:6" x14ac:dyDescent="0.25">
      <c r="A88" s="3" t="str">
        <f>'Alle Bauteile'!A82</f>
        <v>Probespitze</v>
      </c>
      <c r="B88" s="4">
        <f>IF('Alle Bauteile'!C82="","",IF('Alle Bauteile'!F82="x",4*'Alle Bauteile'!C82,'Alle Bauteile'!C82))</f>
        <v>4</v>
      </c>
      <c r="C88" s="6" t="str">
        <f>IF('Alle Bauteile'!D82="","",'Alle Bauteile'!D82)</f>
        <v>?</v>
      </c>
      <c r="D88" s="6">
        <f t="shared" ref="D88:D95" si="1">IF(AND(ISNUMBER(B88),ISNUMBER(C88)),B88*C88,0)</f>
        <v>0</v>
      </c>
      <c r="E88" s="4" t="str">
        <f>IF('Alle Bauteile'!G82="","",'Alle Bauteile'!G82)</f>
        <v/>
      </c>
      <c r="F88" s="4"/>
    </row>
    <row r="89" spans="1:6" x14ac:dyDescent="0.25">
      <c r="A89" s="3" t="str">
        <f>'Alle Bauteile'!A92</f>
        <v>Schukokabel</v>
      </c>
      <c r="B89" s="4" t="str">
        <f>IF('Alle Bauteile'!C92="","",IF('Alle Bauteile'!F92="x",4*'Alle Bauteile'!C92,'Alle Bauteile'!C92))</f>
        <v/>
      </c>
      <c r="C89" s="6" t="str">
        <f>IF('Alle Bauteile'!D92="","",'Alle Bauteile'!D92)</f>
        <v/>
      </c>
      <c r="D89" s="6">
        <f t="shared" si="1"/>
        <v>0</v>
      </c>
      <c r="E89" s="4" t="str">
        <f>IF('Alle Bauteile'!G92="","",'Alle Bauteile'!G92)</f>
        <v/>
      </c>
      <c r="F89" s="4"/>
    </row>
    <row r="90" spans="1:6" x14ac:dyDescent="0.25">
      <c r="A90" s="3" t="str">
        <f>'Alle Bauteile'!A93</f>
        <v>Kabel Probe</v>
      </c>
      <c r="B90" s="4" t="str">
        <f>IF('Alle Bauteile'!C93="","",IF('Alle Bauteile'!F93="x",4*'Alle Bauteile'!C93,'Alle Bauteile'!C93))</f>
        <v/>
      </c>
      <c r="C90" s="6" t="str">
        <f>IF('Alle Bauteile'!D93="","",'Alle Bauteile'!D93)</f>
        <v/>
      </c>
      <c r="D90" s="6">
        <f t="shared" si="1"/>
        <v>0</v>
      </c>
      <c r="E90" s="4" t="str">
        <f>IF('Alle Bauteile'!G93="","",'Alle Bauteile'!G93)</f>
        <v/>
      </c>
      <c r="F90" s="4"/>
    </row>
    <row r="91" spans="1:6" x14ac:dyDescent="0.25">
      <c r="A91" s="3" t="str">
        <f>'Alle Bauteile'!A94</f>
        <v>Gehäuse für Elektronik</v>
      </c>
      <c r="B91" s="4" t="str">
        <f>IF('Alle Bauteile'!C94="","",IF('Alle Bauteile'!F94="x",4*'Alle Bauteile'!C94,'Alle Bauteile'!C94))</f>
        <v/>
      </c>
      <c r="C91" s="6" t="str">
        <f>IF('Alle Bauteile'!D94="","",'Alle Bauteile'!D94)</f>
        <v/>
      </c>
      <c r="D91" s="6">
        <f t="shared" si="1"/>
        <v>0</v>
      </c>
      <c r="E91" s="4" t="str">
        <f>IF('Alle Bauteile'!G94="","",'Alle Bauteile'!G94)</f>
        <v/>
      </c>
      <c r="F91" s="4"/>
    </row>
    <row r="92" spans="1:6" x14ac:dyDescent="0.25">
      <c r="A92" s="3" t="str">
        <f>'Alle Bauteile'!A97</f>
        <v>Kabel für Endschalter</v>
      </c>
      <c r="B92" s="4" t="str">
        <f>IF('Alle Bauteile'!C97="","",IF('Alle Bauteile'!F97="x",4*'Alle Bauteile'!C97,'Alle Bauteile'!C97))</f>
        <v/>
      </c>
      <c r="C92" s="6" t="str">
        <f>IF('Alle Bauteile'!D97="","",'Alle Bauteile'!D97)</f>
        <v/>
      </c>
      <c r="D92" s="6">
        <f t="shared" si="1"/>
        <v>0</v>
      </c>
      <c r="E92" s="4" t="str">
        <f>IF('Alle Bauteile'!G97="","",'Alle Bauteile'!G97)</f>
        <v/>
      </c>
      <c r="F92" s="4"/>
    </row>
    <row r="93" spans="1:6" x14ac:dyDescent="0.25">
      <c r="A93" s="3" t="str">
        <f>'Alle Bauteile'!A98</f>
        <v>Motorkabel</v>
      </c>
      <c r="B93" s="4" t="str">
        <f>IF('Alle Bauteile'!C98="","",IF('Alle Bauteile'!F98="x",4*'Alle Bauteile'!C98,'Alle Bauteile'!C98))</f>
        <v/>
      </c>
      <c r="C93" s="6" t="str">
        <f>IF('Alle Bauteile'!D98="","",'Alle Bauteile'!D98)</f>
        <v/>
      </c>
      <c r="D93" s="6">
        <f t="shared" si="1"/>
        <v>0</v>
      </c>
      <c r="E93" s="4" t="str">
        <f>IF('Alle Bauteile'!G98="","",'Alle Bauteile'!G98)</f>
        <v/>
      </c>
      <c r="F93" s="4"/>
    </row>
    <row r="94" spans="1:6" x14ac:dyDescent="0.25">
      <c r="A94" s="3" t="str">
        <f>'Alle Bauteile'!A138</f>
        <v>DIN 562 Vierkantmutter flach M3</v>
      </c>
      <c r="B94" s="4">
        <f>IF('Alle Bauteile'!C138="","",IF('Alle Bauteile'!F138="x",4*'Alle Bauteile'!C138,'Alle Bauteile'!C138))</f>
        <v>10</v>
      </c>
      <c r="C94" s="6" t="str">
        <f>IF('Alle Bauteile'!D138="","",'Alle Bauteile'!D138)</f>
        <v/>
      </c>
      <c r="D94" s="6">
        <f t="shared" si="1"/>
        <v>0</v>
      </c>
      <c r="E94" s="4" t="str">
        <f>IF('Alle Bauteile'!G138="","",'Alle Bauteile'!G138)</f>
        <v/>
      </c>
      <c r="F94" s="4"/>
    </row>
    <row r="95" spans="1:6" x14ac:dyDescent="0.25">
      <c r="A95" s="3" t="str">
        <f>'Alle Bauteile'!A139</f>
        <v>DIN 562 Vierkantmutter flach M4</v>
      </c>
      <c r="B95" s="4">
        <f>IF('Alle Bauteile'!C139="","",IF('Alle Bauteile'!F139="x",4*'Alle Bauteile'!C139,'Alle Bauteile'!C139))</f>
        <v>14</v>
      </c>
      <c r="C95" s="6" t="str">
        <f>IF('Alle Bauteile'!D139="","",'Alle Bauteile'!D139)</f>
        <v/>
      </c>
      <c r="D95" s="6">
        <f t="shared" si="1"/>
        <v>0</v>
      </c>
      <c r="E95" s="4" t="str">
        <f>IF('Alle Bauteile'!G139="","",'Alle Bauteile'!G139)</f>
        <v/>
      </c>
      <c r="F95" s="4"/>
    </row>
    <row r="96" spans="1:6" x14ac:dyDescent="0.25">
      <c r="A96" s="8" t="s">
        <v>209</v>
      </c>
      <c r="B96" s="4"/>
      <c r="C96" s="4"/>
      <c r="D96" s="6">
        <f>SUM(D88:D95)</f>
        <v>0</v>
      </c>
      <c r="E96" s="4"/>
      <c r="F96" s="4"/>
    </row>
    <row r="97" spans="1:6" x14ac:dyDescent="0.25">
      <c r="A97" s="3"/>
      <c r="B97" s="4"/>
      <c r="C97" s="4"/>
      <c r="D97" s="4"/>
      <c r="E97" s="4"/>
      <c r="F97" s="4"/>
    </row>
    <row r="98" spans="1:6" x14ac:dyDescent="0.25">
      <c r="A98" s="5" t="s">
        <v>210</v>
      </c>
      <c r="B98" s="4"/>
      <c r="C98" s="4"/>
      <c r="D98" s="9">
        <f>D11+D60+D65+D70+D76+D80+D85+D96</f>
        <v>2383.8736000000004</v>
      </c>
      <c r="E98" s="4"/>
      <c r="F98" s="4"/>
    </row>
    <row r="99" spans="1:6" x14ac:dyDescent="0.25">
      <c r="A99" s="3"/>
      <c r="B99" s="4"/>
      <c r="C99" s="4"/>
      <c r="D99" s="4"/>
      <c r="E99" s="4"/>
      <c r="F99" s="4"/>
    </row>
    <row r="100" spans="1:6" ht="45" x14ac:dyDescent="0.25">
      <c r="A100" s="3" t="s">
        <v>211</v>
      </c>
      <c r="B100" s="4"/>
      <c r="C100" s="4"/>
      <c r="D100" s="4"/>
      <c r="E100" s="4"/>
      <c r="F100" s="4"/>
    </row>
  </sheetData>
  <dataValidations count="1">
    <dataValidation type="list" allowBlank="1" sqref="F6 F7 F8 F9 F10 F14 F15 F16 F17 F18 F19 F20 F21 F22 F23 F24 F25 F26 F27 F28 F29 F30 F31 F32 F33 F34 F35 F36 F37 F38 F39 F40 F41 F42 F43 F44 F45 F46 F47 F48 F49 F50 F51 F52 F53 F54 F55 F56 F57 F58 F59 F63 F64 F68 F69 F73 F74 F75 F79 F83 F84 F88 F89 F90 F91 F92 F93 F94 F95" xr:uid="{00000000-0002-0000-0100-000000000000}">
      <formula1>"identifiziert,bestellt,geliefert,verbaut"</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8"/>
  <sheetViews>
    <sheetView workbookViewId="0">
      <pane ySplit="3" topLeftCell="A25" activePane="bottomLeft" state="frozen"/>
      <selection pane="bottomLeft" activeCell="D58" sqref="D58"/>
    </sheetView>
  </sheetViews>
  <sheetFormatPr baseColWidth="10" defaultColWidth="9.140625" defaultRowHeight="15" x14ac:dyDescent="0.25"/>
  <cols>
    <col min="1" max="1" width="77.7109375" customWidth="1"/>
    <col min="2" max="2" width="22" customWidth="1"/>
    <col min="3" max="3" width="9" customWidth="1"/>
    <col min="4" max="4" width="30" customWidth="1"/>
    <col min="5" max="5" width="34" customWidth="1"/>
    <col min="6" max="6" width="15" customWidth="1"/>
  </cols>
  <sheetData>
    <row r="1" spans="1:6" ht="18.75" x14ac:dyDescent="0.3">
      <c r="A1" s="1" t="s">
        <v>212</v>
      </c>
    </row>
    <row r="3" spans="1:6" x14ac:dyDescent="0.25">
      <c r="A3" s="2" t="s">
        <v>1</v>
      </c>
      <c r="B3" s="2" t="s">
        <v>213</v>
      </c>
      <c r="C3" s="2" t="s">
        <v>214</v>
      </c>
      <c r="D3" s="2" t="s">
        <v>215</v>
      </c>
      <c r="E3" s="2" t="s">
        <v>216</v>
      </c>
      <c r="F3" s="2" t="s">
        <v>8</v>
      </c>
    </row>
    <row r="4" spans="1:6" x14ac:dyDescent="0.25">
      <c r="A4" s="3"/>
      <c r="B4" s="4"/>
      <c r="C4" s="4"/>
      <c r="D4" s="4"/>
      <c r="E4" s="4"/>
      <c r="F4" s="4"/>
    </row>
    <row r="5" spans="1:6" x14ac:dyDescent="0.25">
      <c r="A5" s="5" t="s">
        <v>217</v>
      </c>
      <c r="B5" s="4"/>
      <c r="C5" s="4"/>
      <c r="D5" s="4"/>
      <c r="E5" s="4"/>
      <c r="F5" s="4"/>
    </row>
    <row r="6" spans="1:6" x14ac:dyDescent="0.25">
      <c r="A6" s="3" t="s">
        <v>218</v>
      </c>
      <c r="B6" s="4" t="s">
        <v>217</v>
      </c>
      <c r="C6" s="4">
        <v>2</v>
      </c>
      <c r="D6" s="4" t="s">
        <v>219</v>
      </c>
      <c r="E6" s="4" t="s">
        <v>220</v>
      </c>
      <c r="F6" s="4" t="s">
        <v>200</v>
      </c>
    </row>
    <row r="7" spans="1:6" x14ac:dyDescent="0.25">
      <c r="A7" s="3" t="s">
        <v>221</v>
      </c>
      <c r="B7" s="4" t="s">
        <v>217</v>
      </c>
      <c r="C7" s="4">
        <v>2</v>
      </c>
      <c r="D7" s="4" t="s">
        <v>219</v>
      </c>
      <c r="E7" s="4" t="s">
        <v>220</v>
      </c>
      <c r="F7" s="4" t="s">
        <v>200</v>
      </c>
    </row>
    <row r="8" spans="1:6" x14ac:dyDescent="0.25">
      <c r="A8" s="3" t="s">
        <v>222</v>
      </c>
      <c r="B8" s="4" t="s">
        <v>217</v>
      </c>
      <c r="C8" s="4">
        <v>2</v>
      </c>
      <c r="D8" s="4" t="s">
        <v>219</v>
      </c>
      <c r="E8" s="4" t="s">
        <v>220</v>
      </c>
      <c r="F8" s="4" t="s">
        <v>200</v>
      </c>
    </row>
    <row r="9" spans="1:6" x14ac:dyDescent="0.25">
      <c r="A9" s="3" t="s">
        <v>223</v>
      </c>
      <c r="B9" s="4" t="s">
        <v>217</v>
      </c>
      <c r="C9" s="4">
        <v>2</v>
      </c>
      <c r="D9" s="4" t="s">
        <v>219</v>
      </c>
      <c r="E9" s="4" t="s">
        <v>220</v>
      </c>
      <c r="F9" s="4" t="s">
        <v>200</v>
      </c>
    </row>
    <row r="10" spans="1:6" x14ac:dyDescent="0.25">
      <c r="A10" s="3" t="s">
        <v>224</v>
      </c>
      <c r="B10" s="4" t="s">
        <v>217</v>
      </c>
      <c r="C10" s="4">
        <v>2</v>
      </c>
      <c r="D10" s="4" t="s">
        <v>219</v>
      </c>
      <c r="E10" s="4" t="s">
        <v>220</v>
      </c>
      <c r="F10" s="4" t="s">
        <v>200</v>
      </c>
    </row>
    <row r="11" spans="1:6" x14ac:dyDescent="0.25">
      <c r="A11" s="3" t="s">
        <v>225</v>
      </c>
      <c r="B11" s="4" t="s">
        <v>217</v>
      </c>
      <c r="C11" s="4">
        <v>2</v>
      </c>
      <c r="D11" s="4" t="s">
        <v>219</v>
      </c>
      <c r="E11" s="4" t="s">
        <v>220</v>
      </c>
      <c r="F11" s="4" t="s">
        <v>200</v>
      </c>
    </row>
    <row r="12" spans="1:6" x14ac:dyDescent="0.25">
      <c r="A12" s="3" t="s">
        <v>226</v>
      </c>
      <c r="B12" s="4" t="s">
        <v>217</v>
      </c>
      <c r="C12" s="4">
        <v>1</v>
      </c>
      <c r="D12" s="4" t="s">
        <v>219</v>
      </c>
      <c r="E12" s="4" t="s">
        <v>220</v>
      </c>
      <c r="F12" s="4" t="s">
        <v>200</v>
      </c>
    </row>
    <row r="13" spans="1:6" x14ac:dyDescent="0.25">
      <c r="A13" s="3" t="s">
        <v>227</v>
      </c>
      <c r="B13" s="4" t="s">
        <v>217</v>
      </c>
      <c r="C13" s="4">
        <v>4</v>
      </c>
      <c r="D13" s="4" t="s">
        <v>219</v>
      </c>
      <c r="E13" s="4" t="s">
        <v>220</v>
      </c>
      <c r="F13" s="4" t="s">
        <v>200</v>
      </c>
    </row>
    <row r="14" spans="1:6" x14ac:dyDescent="0.25">
      <c r="A14" s="3" t="s">
        <v>228</v>
      </c>
      <c r="B14" s="4" t="s">
        <v>217</v>
      </c>
      <c r="C14" s="4">
        <v>4</v>
      </c>
      <c r="D14" s="4" t="s">
        <v>219</v>
      </c>
      <c r="E14" s="4" t="s">
        <v>220</v>
      </c>
      <c r="F14" s="4" t="s">
        <v>200</v>
      </c>
    </row>
    <row r="15" spans="1:6" x14ac:dyDescent="0.25">
      <c r="A15" s="3" t="s">
        <v>229</v>
      </c>
      <c r="B15" s="4" t="s">
        <v>217</v>
      </c>
      <c r="C15" s="4">
        <v>1</v>
      </c>
      <c r="D15" s="4" t="s">
        <v>219</v>
      </c>
      <c r="E15" s="4" t="s">
        <v>220</v>
      </c>
      <c r="F15" s="4" t="s">
        <v>200</v>
      </c>
    </row>
    <row r="16" spans="1:6" x14ac:dyDescent="0.25">
      <c r="A16" s="3" t="s">
        <v>230</v>
      </c>
      <c r="B16" s="4" t="s">
        <v>217</v>
      </c>
      <c r="C16" s="4">
        <v>1</v>
      </c>
      <c r="D16" s="4" t="s">
        <v>219</v>
      </c>
      <c r="E16" s="4" t="s">
        <v>220</v>
      </c>
      <c r="F16" s="4" t="s">
        <v>200</v>
      </c>
    </row>
    <row r="17" spans="1:6" x14ac:dyDescent="0.25">
      <c r="A17" s="3" t="s">
        <v>231</v>
      </c>
      <c r="B17" s="4" t="s">
        <v>217</v>
      </c>
      <c r="C17" s="4">
        <v>4</v>
      </c>
      <c r="D17" s="4" t="s">
        <v>219</v>
      </c>
      <c r="E17" s="4" t="s">
        <v>220</v>
      </c>
      <c r="F17" s="4" t="s">
        <v>200</v>
      </c>
    </row>
    <row r="18" spans="1:6" x14ac:dyDescent="0.25">
      <c r="A18" s="3" t="s">
        <v>232</v>
      </c>
      <c r="B18" s="4" t="s">
        <v>217</v>
      </c>
      <c r="C18" s="4">
        <v>4</v>
      </c>
      <c r="D18" s="4" t="s">
        <v>219</v>
      </c>
      <c r="E18" s="4" t="s">
        <v>220</v>
      </c>
      <c r="F18" s="4" t="s">
        <v>200</v>
      </c>
    </row>
    <row r="19" spans="1:6" x14ac:dyDescent="0.25">
      <c r="A19" s="3" t="s">
        <v>233</v>
      </c>
      <c r="B19" s="4" t="s">
        <v>217</v>
      </c>
      <c r="C19" s="4">
        <v>2</v>
      </c>
      <c r="D19" s="4" t="s">
        <v>219</v>
      </c>
      <c r="E19" s="4" t="s">
        <v>220</v>
      </c>
      <c r="F19" s="4" t="s">
        <v>200</v>
      </c>
    </row>
    <row r="20" spans="1:6" x14ac:dyDescent="0.25">
      <c r="A20" s="3" t="s">
        <v>234</v>
      </c>
      <c r="B20" s="4" t="s">
        <v>217</v>
      </c>
      <c r="C20" s="4">
        <v>2</v>
      </c>
      <c r="D20" s="4" t="s">
        <v>219</v>
      </c>
      <c r="E20" s="4" t="s">
        <v>220</v>
      </c>
      <c r="F20" s="4" t="s">
        <v>200</v>
      </c>
    </row>
    <row r="21" spans="1:6" x14ac:dyDescent="0.25">
      <c r="A21" s="3" t="s">
        <v>235</v>
      </c>
      <c r="B21" s="4" t="s">
        <v>217</v>
      </c>
      <c r="C21" s="4">
        <v>8</v>
      </c>
      <c r="D21" s="4" t="s">
        <v>219</v>
      </c>
      <c r="E21" s="4" t="s">
        <v>236</v>
      </c>
      <c r="F21" s="4" t="s">
        <v>200</v>
      </c>
    </row>
    <row r="22" spans="1:6" x14ac:dyDescent="0.25">
      <c r="A22" s="3" t="s">
        <v>237</v>
      </c>
      <c r="B22" s="4" t="s">
        <v>217</v>
      </c>
      <c r="C22" s="4">
        <v>8</v>
      </c>
      <c r="D22" s="4" t="s">
        <v>219</v>
      </c>
      <c r="E22" s="4" t="s">
        <v>236</v>
      </c>
      <c r="F22" s="4" t="s">
        <v>200</v>
      </c>
    </row>
    <row r="23" spans="1:6" x14ac:dyDescent="0.25">
      <c r="A23" s="3" t="s">
        <v>238</v>
      </c>
      <c r="B23" s="4" t="s">
        <v>217</v>
      </c>
      <c r="C23" s="4">
        <v>8</v>
      </c>
      <c r="D23" s="4" t="s">
        <v>219</v>
      </c>
      <c r="E23" s="4" t="s">
        <v>236</v>
      </c>
      <c r="F23" s="4" t="s">
        <v>200</v>
      </c>
    </row>
    <row r="24" spans="1:6" x14ac:dyDescent="0.25">
      <c r="A24" s="3" t="s">
        <v>239</v>
      </c>
      <c r="B24" s="4" t="s">
        <v>217</v>
      </c>
      <c r="C24" s="4">
        <v>4</v>
      </c>
      <c r="D24" s="4" t="s">
        <v>219</v>
      </c>
      <c r="E24" s="4" t="s">
        <v>240</v>
      </c>
      <c r="F24" s="4" t="s">
        <v>200</v>
      </c>
    </row>
    <row r="25" spans="1:6" x14ac:dyDescent="0.25">
      <c r="A25" s="3" t="s">
        <v>241</v>
      </c>
      <c r="B25" s="4" t="s">
        <v>217</v>
      </c>
      <c r="C25" s="4">
        <v>4</v>
      </c>
      <c r="D25" s="4" t="s">
        <v>219</v>
      </c>
      <c r="E25" s="4" t="s">
        <v>240</v>
      </c>
      <c r="F25" s="4" t="s">
        <v>200</v>
      </c>
    </row>
    <row r="26" spans="1:6" x14ac:dyDescent="0.25">
      <c r="A26" s="3" t="s">
        <v>242</v>
      </c>
      <c r="B26" s="4" t="s">
        <v>217</v>
      </c>
      <c r="C26" s="4">
        <v>4</v>
      </c>
      <c r="D26" s="4" t="s">
        <v>219</v>
      </c>
      <c r="E26" s="4" t="s">
        <v>240</v>
      </c>
      <c r="F26" s="4" t="s">
        <v>200</v>
      </c>
    </row>
    <row r="27" spans="1:6" x14ac:dyDescent="0.25">
      <c r="A27" s="3" t="s">
        <v>243</v>
      </c>
      <c r="B27" s="4" t="s">
        <v>217</v>
      </c>
      <c r="C27" s="4">
        <v>4</v>
      </c>
      <c r="D27" s="4" t="s">
        <v>219</v>
      </c>
      <c r="E27" s="4" t="s">
        <v>240</v>
      </c>
      <c r="F27" s="4" t="s">
        <v>200</v>
      </c>
    </row>
    <row r="28" spans="1:6" x14ac:dyDescent="0.25">
      <c r="A28" s="3" t="s">
        <v>244</v>
      </c>
      <c r="B28" s="4" t="s">
        <v>217</v>
      </c>
      <c r="C28" s="4">
        <v>12</v>
      </c>
      <c r="D28" s="4" t="s">
        <v>219</v>
      </c>
      <c r="E28" s="4" t="s">
        <v>240</v>
      </c>
      <c r="F28" s="4" t="s">
        <v>200</v>
      </c>
    </row>
    <row r="29" spans="1:6" x14ac:dyDescent="0.25">
      <c r="A29" s="3" t="s">
        <v>245</v>
      </c>
      <c r="B29" s="4" t="s">
        <v>217</v>
      </c>
      <c r="C29" s="4">
        <v>8</v>
      </c>
      <c r="D29" s="4" t="s">
        <v>219</v>
      </c>
      <c r="E29" s="4" t="s">
        <v>240</v>
      </c>
      <c r="F29" s="4" t="s">
        <v>200</v>
      </c>
    </row>
    <row r="30" spans="1:6" x14ac:dyDescent="0.25">
      <c r="A30" s="3" t="s">
        <v>246</v>
      </c>
      <c r="B30" s="4" t="s">
        <v>217</v>
      </c>
      <c r="C30" s="4">
        <v>4</v>
      </c>
      <c r="D30" s="4" t="s">
        <v>219</v>
      </c>
      <c r="E30" s="4" t="s">
        <v>240</v>
      </c>
      <c r="F30" s="4" t="s">
        <v>200</v>
      </c>
    </row>
    <row r="31" spans="1:6" x14ac:dyDescent="0.25">
      <c r="A31" s="3" t="s">
        <v>247</v>
      </c>
      <c r="B31" s="4" t="s">
        <v>217</v>
      </c>
      <c r="C31" s="4">
        <v>4</v>
      </c>
      <c r="D31" s="4" t="s">
        <v>219</v>
      </c>
      <c r="E31" s="4" t="s">
        <v>240</v>
      </c>
      <c r="F31" s="4" t="s">
        <v>200</v>
      </c>
    </row>
    <row r="32" spans="1:6" x14ac:dyDescent="0.25">
      <c r="A32" s="3" t="s">
        <v>248</v>
      </c>
      <c r="B32" s="4" t="s">
        <v>217</v>
      </c>
      <c r="C32" s="4">
        <v>4</v>
      </c>
      <c r="D32" s="4" t="s">
        <v>219</v>
      </c>
      <c r="E32" s="4" t="s">
        <v>240</v>
      </c>
      <c r="F32" s="4" t="s">
        <v>200</v>
      </c>
    </row>
    <row r="33" spans="1:6" x14ac:dyDescent="0.25">
      <c r="A33" s="3" t="s">
        <v>249</v>
      </c>
      <c r="B33" s="4" t="s">
        <v>217</v>
      </c>
      <c r="C33" s="4">
        <v>4</v>
      </c>
      <c r="D33" s="4" t="s">
        <v>219</v>
      </c>
      <c r="E33" s="4" t="s">
        <v>240</v>
      </c>
      <c r="F33" s="4" t="s">
        <v>200</v>
      </c>
    </row>
    <row r="34" spans="1:6" x14ac:dyDescent="0.25">
      <c r="A34" s="3" t="s">
        <v>250</v>
      </c>
      <c r="B34" s="4" t="s">
        <v>217</v>
      </c>
      <c r="C34" s="4">
        <v>4</v>
      </c>
      <c r="D34" s="4" t="s">
        <v>219</v>
      </c>
      <c r="E34" s="4" t="s">
        <v>251</v>
      </c>
      <c r="F34" s="4" t="s">
        <v>200</v>
      </c>
    </row>
    <row r="35" spans="1:6" x14ac:dyDescent="0.25">
      <c r="A35" s="3" t="s">
        <v>252</v>
      </c>
      <c r="B35" s="4" t="s">
        <v>217</v>
      </c>
      <c r="C35" s="4">
        <v>4</v>
      </c>
      <c r="D35" s="4" t="s">
        <v>219</v>
      </c>
      <c r="E35" s="4" t="s">
        <v>251</v>
      </c>
      <c r="F35" s="4" t="s">
        <v>200</v>
      </c>
    </row>
    <row r="36" spans="1:6" x14ac:dyDescent="0.25">
      <c r="A36" s="3" t="s">
        <v>253</v>
      </c>
      <c r="B36" s="4" t="s">
        <v>217</v>
      </c>
      <c r="C36" s="4">
        <v>4</v>
      </c>
      <c r="D36" s="4" t="s">
        <v>219</v>
      </c>
      <c r="E36" s="4" t="s">
        <v>251</v>
      </c>
      <c r="F36" s="4" t="s">
        <v>200</v>
      </c>
    </row>
    <row r="37" spans="1:6" x14ac:dyDescent="0.25">
      <c r="A37" s="3" t="s">
        <v>254</v>
      </c>
      <c r="B37" s="4" t="s">
        <v>217</v>
      </c>
      <c r="C37" s="4">
        <v>4</v>
      </c>
      <c r="D37" s="4" t="s">
        <v>219</v>
      </c>
      <c r="E37" s="4" t="s">
        <v>251</v>
      </c>
      <c r="F37" s="4" t="s">
        <v>200</v>
      </c>
    </row>
    <row r="38" spans="1:6" x14ac:dyDescent="0.25">
      <c r="A38" s="3" t="s">
        <v>255</v>
      </c>
      <c r="B38" s="4" t="s">
        <v>217</v>
      </c>
      <c r="C38" s="4">
        <v>4</v>
      </c>
      <c r="D38" s="4" t="s">
        <v>219</v>
      </c>
      <c r="E38" s="4" t="s">
        <v>251</v>
      </c>
      <c r="F38" s="4" t="s">
        <v>200</v>
      </c>
    </row>
    <row r="39" spans="1:6" x14ac:dyDescent="0.25">
      <c r="A39" s="3" t="s">
        <v>256</v>
      </c>
      <c r="B39" s="4" t="s">
        <v>217</v>
      </c>
      <c r="C39" s="4">
        <v>4</v>
      </c>
      <c r="D39" s="4" t="s">
        <v>219</v>
      </c>
      <c r="E39" s="4" t="s">
        <v>251</v>
      </c>
      <c r="F39" s="4" t="s">
        <v>200</v>
      </c>
    </row>
    <row r="40" spans="1:6" x14ac:dyDescent="0.25">
      <c r="A40" s="3" t="s">
        <v>257</v>
      </c>
      <c r="B40" s="4" t="s">
        <v>217</v>
      </c>
      <c r="C40" s="4">
        <v>4</v>
      </c>
      <c r="D40" s="4" t="s">
        <v>219</v>
      </c>
      <c r="E40" s="4" t="s">
        <v>258</v>
      </c>
      <c r="F40" s="4" t="s">
        <v>200</v>
      </c>
    </row>
    <row r="41" spans="1:6" x14ac:dyDescent="0.25">
      <c r="A41" s="3" t="s">
        <v>259</v>
      </c>
      <c r="B41" s="4" t="s">
        <v>217</v>
      </c>
      <c r="C41" s="4">
        <v>4</v>
      </c>
      <c r="D41" s="4" t="s">
        <v>219</v>
      </c>
      <c r="E41" s="4" t="s">
        <v>258</v>
      </c>
      <c r="F41" s="4" t="s">
        <v>200</v>
      </c>
    </row>
    <row r="42" spans="1:6" x14ac:dyDescent="0.25">
      <c r="A42" s="3" t="s">
        <v>260</v>
      </c>
      <c r="B42" s="4" t="s">
        <v>217</v>
      </c>
      <c r="C42" s="4">
        <v>4</v>
      </c>
      <c r="D42" s="4" t="s">
        <v>219</v>
      </c>
      <c r="E42" s="4" t="s">
        <v>258</v>
      </c>
      <c r="F42" s="4" t="s">
        <v>200</v>
      </c>
    </row>
    <row r="43" spans="1:6" x14ac:dyDescent="0.25">
      <c r="A43" s="3" t="s">
        <v>261</v>
      </c>
      <c r="B43" s="4" t="s">
        <v>217</v>
      </c>
      <c r="C43" s="4">
        <v>4</v>
      </c>
      <c r="D43" s="4" t="s">
        <v>219</v>
      </c>
      <c r="E43" s="4" t="s">
        <v>258</v>
      </c>
      <c r="F43" s="4" t="s">
        <v>200</v>
      </c>
    </row>
    <row r="44" spans="1:6" x14ac:dyDescent="0.25">
      <c r="A44" s="3" t="s">
        <v>262</v>
      </c>
      <c r="B44" s="4" t="s">
        <v>217</v>
      </c>
      <c r="C44" s="4">
        <v>1</v>
      </c>
      <c r="D44" s="4" t="s">
        <v>219</v>
      </c>
      <c r="E44" s="4" t="s">
        <v>117</v>
      </c>
      <c r="F44" s="4" t="s">
        <v>200</v>
      </c>
    </row>
    <row r="45" spans="1:6" x14ac:dyDescent="0.25">
      <c r="A45" s="3" t="s">
        <v>263</v>
      </c>
      <c r="B45" s="4" t="s">
        <v>217</v>
      </c>
      <c r="C45" s="4">
        <v>1</v>
      </c>
      <c r="D45" s="4" t="s">
        <v>219</v>
      </c>
      <c r="E45" s="4" t="s">
        <v>117</v>
      </c>
      <c r="F45" s="4" t="s">
        <v>200</v>
      </c>
    </row>
    <row r="46" spans="1:6" x14ac:dyDescent="0.25">
      <c r="A46" s="3" t="s">
        <v>264</v>
      </c>
      <c r="B46" s="4" t="s">
        <v>217</v>
      </c>
      <c r="C46" s="4">
        <v>1</v>
      </c>
      <c r="D46" s="4" t="s">
        <v>219</v>
      </c>
      <c r="E46" s="4" t="s">
        <v>117</v>
      </c>
      <c r="F46" s="4" t="s">
        <v>200</v>
      </c>
    </row>
    <row r="47" spans="1:6" x14ac:dyDescent="0.25">
      <c r="A47" s="3" t="s">
        <v>265</v>
      </c>
      <c r="B47" s="4" t="s">
        <v>217</v>
      </c>
      <c r="C47" s="4">
        <v>1</v>
      </c>
      <c r="D47" s="4" t="s">
        <v>219</v>
      </c>
      <c r="E47" s="4" t="s">
        <v>117</v>
      </c>
      <c r="F47" s="4" t="s">
        <v>200</v>
      </c>
    </row>
    <row r="48" spans="1:6" x14ac:dyDescent="0.25">
      <c r="A48" s="3" t="s">
        <v>266</v>
      </c>
      <c r="B48" s="4" t="s">
        <v>217</v>
      </c>
      <c r="C48" s="4">
        <v>1</v>
      </c>
      <c r="D48" s="4" t="s">
        <v>219</v>
      </c>
      <c r="E48" s="4" t="s">
        <v>117</v>
      </c>
      <c r="F48" s="4" t="s">
        <v>200</v>
      </c>
    </row>
    <row r="49" spans="1:6" x14ac:dyDescent="0.25">
      <c r="A49" s="3" t="s">
        <v>267</v>
      </c>
      <c r="B49" s="4" t="s">
        <v>217</v>
      </c>
      <c r="C49" s="4">
        <v>1</v>
      </c>
      <c r="D49" s="4" t="s">
        <v>219</v>
      </c>
      <c r="E49" s="4" t="s">
        <v>117</v>
      </c>
      <c r="F49" s="4" t="s">
        <v>200</v>
      </c>
    </row>
    <row r="50" spans="1:6" x14ac:dyDescent="0.25">
      <c r="A50" s="3" t="s">
        <v>268</v>
      </c>
      <c r="B50" s="4" t="s">
        <v>217</v>
      </c>
      <c r="C50" s="4">
        <v>1</v>
      </c>
      <c r="D50" s="4" t="s">
        <v>219</v>
      </c>
      <c r="E50" s="4" t="s">
        <v>117</v>
      </c>
      <c r="F50" s="4" t="s">
        <v>200</v>
      </c>
    </row>
    <row r="51" spans="1:6" x14ac:dyDescent="0.25">
      <c r="A51" s="3" t="s">
        <v>269</v>
      </c>
      <c r="B51" s="4" t="s">
        <v>217</v>
      </c>
      <c r="C51" s="4">
        <v>1</v>
      </c>
      <c r="D51" s="4" t="s">
        <v>219</v>
      </c>
      <c r="E51" s="4" t="s">
        <v>117</v>
      </c>
      <c r="F51" s="4" t="s">
        <v>200</v>
      </c>
    </row>
    <row r="52" spans="1:6" x14ac:dyDescent="0.25">
      <c r="A52" s="3" t="s">
        <v>270</v>
      </c>
      <c r="B52" s="4" t="s">
        <v>217</v>
      </c>
      <c r="C52" s="4">
        <v>1</v>
      </c>
      <c r="D52" s="4" t="s">
        <v>219</v>
      </c>
      <c r="E52" s="4" t="s">
        <v>271</v>
      </c>
      <c r="F52" s="4" t="s">
        <v>200</v>
      </c>
    </row>
    <row r="53" spans="1:6" x14ac:dyDescent="0.25">
      <c r="A53" s="3" t="s">
        <v>272</v>
      </c>
      <c r="B53" s="4" t="s">
        <v>217</v>
      </c>
      <c r="C53" s="4">
        <v>1</v>
      </c>
      <c r="D53" s="4" t="s">
        <v>219</v>
      </c>
      <c r="E53" s="4" t="s">
        <v>271</v>
      </c>
      <c r="F53" s="4" t="s">
        <v>200</v>
      </c>
    </row>
    <row r="54" spans="1:6" x14ac:dyDescent="0.25">
      <c r="A54" s="3"/>
      <c r="B54" s="4"/>
      <c r="C54" s="4"/>
      <c r="D54" s="4"/>
      <c r="E54" s="4"/>
      <c r="F54" s="4"/>
    </row>
    <row r="55" spans="1:6" x14ac:dyDescent="0.25">
      <c r="A55" s="5" t="s">
        <v>28</v>
      </c>
      <c r="B55" s="4"/>
      <c r="C55" s="4"/>
      <c r="D55" s="4"/>
      <c r="E55" s="4"/>
      <c r="F55" s="4"/>
    </row>
    <row r="56" spans="1:6" x14ac:dyDescent="0.25">
      <c r="A56" s="3" t="s">
        <v>27</v>
      </c>
      <c r="B56" s="4" t="s">
        <v>28</v>
      </c>
      <c r="C56" s="4">
        <v>1</v>
      </c>
      <c r="D56" s="7"/>
      <c r="E56" s="4" t="s">
        <v>220</v>
      </c>
      <c r="F56" s="4" t="s">
        <v>200</v>
      </c>
    </row>
    <row r="57" spans="1:6" x14ac:dyDescent="0.25">
      <c r="A57" s="3" t="s">
        <v>30</v>
      </c>
      <c r="B57" s="4" t="s">
        <v>28</v>
      </c>
      <c r="C57" s="4">
        <v>2</v>
      </c>
      <c r="D57" s="4" t="s">
        <v>273</v>
      </c>
      <c r="E57" s="4" t="s">
        <v>220</v>
      </c>
      <c r="F57" s="4" t="s">
        <v>200</v>
      </c>
    </row>
    <row r="58" spans="1:6" x14ac:dyDescent="0.25">
      <c r="A58" s="3" t="s">
        <v>38</v>
      </c>
      <c r="B58" s="4" t="s">
        <v>28</v>
      </c>
      <c r="C58" s="4">
        <v>1</v>
      </c>
      <c r="D58" s="7"/>
      <c r="E58" s="4" t="s">
        <v>220</v>
      </c>
      <c r="F58" s="4" t="s">
        <v>200</v>
      </c>
    </row>
    <row r="59" spans="1:6" x14ac:dyDescent="0.25">
      <c r="A59" s="3" t="s">
        <v>71</v>
      </c>
      <c r="B59" s="4" t="s">
        <v>28</v>
      </c>
      <c r="C59" s="4">
        <v>8</v>
      </c>
      <c r="D59" s="4" t="s">
        <v>273</v>
      </c>
      <c r="E59" s="4" t="s">
        <v>240</v>
      </c>
      <c r="F59" s="4" t="s">
        <v>200</v>
      </c>
    </row>
    <row r="60" spans="1:6" ht="21.75" customHeight="1" x14ac:dyDescent="0.25">
      <c r="A60" s="3" t="s">
        <v>274</v>
      </c>
      <c r="B60" s="4" t="s">
        <v>28</v>
      </c>
      <c r="C60" s="4">
        <v>2</v>
      </c>
      <c r="D60" s="4" t="s">
        <v>275</v>
      </c>
      <c r="E60" s="4" t="s">
        <v>220</v>
      </c>
      <c r="F60" s="4" t="s">
        <v>200</v>
      </c>
    </row>
    <row r="61" spans="1:6" ht="20.25" customHeight="1" x14ac:dyDescent="0.25">
      <c r="A61" s="3" t="s">
        <v>276</v>
      </c>
      <c r="B61" s="4" t="s">
        <v>28</v>
      </c>
      <c r="C61" s="4">
        <v>4</v>
      </c>
      <c r="D61" s="4" t="s">
        <v>277</v>
      </c>
      <c r="E61" s="4" t="s">
        <v>278</v>
      </c>
      <c r="F61" s="4" t="s">
        <v>200</v>
      </c>
    </row>
    <row r="62" spans="1:6" x14ac:dyDescent="0.25">
      <c r="A62" s="3"/>
      <c r="B62" s="4"/>
      <c r="C62" s="4"/>
      <c r="D62" s="4"/>
      <c r="E62" s="4"/>
      <c r="F62" s="4"/>
    </row>
    <row r="63" spans="1:6" x14ac:dyDescent="0.25">
      <c r="A63" s="5" t="s">
        <v>279</v>
      </c>
      <c r="B63" s="4"/>
      <c r="C63" s="4"/>
      <c r="D63" s="4"/>
      <c r="E63" s="4"/>
      <c r="F63" s="4"/>
    </row>
    <row r="64" spans="1:6" x14ac:dyDescent="0.25">
      <c r="A64" s="3" t="s">
        <v>137</v>
      </c>
      <c r="B64" s="4" t="s">
        <v>279</v>
      </c>
      <c r="C64" s="4">
        <v>1</v>
      </c>
      <c r="D64" s="4" t="s">
        <v>280</v>
      </c>
      <c r="E64" s="4" t="s">
        <v>117</v>
      </c>
      <c r="F64" s="4" t="s">
        <v>200</v>
      </c>
    </row>
    <row r="65" spans="1:6" x14ac:dyDescent="0.25">
      <c r="A65" s="3" t="s">
        <v>139</v>
      </c>
      <c r="B65" s="4" t="s">
        <v>279</v>
      </c>
      <c r="C65" s="4">
        <v>4</v>
      </c>
      <c r="D65" s="4" t="s">
        <v>281</v>
      </c>
      <c r="E65" s="4" t="s">
        <v>117</v>
      </c>
      <c r="F65" s="4" t="s">
        <v>200</v>
      </c>
    </row>
    <row r="66" spans="1:6" x14ac:dyDescent="0.25">
      <c r="A66" s="3"/>
      <c r="B66" s="4"/>
      <c r="C66" s="4"/>
      <c r="D66" s="4"/>
      <c r="E66" s="4"/>
      <c r="F66" s="4"/>
    </row>
    <row r="67" spans="1:6" x14ac:dyDescent="0.25">
      <c r="A67" s="3"/>
      <c r="B67" s="4"/>
      <c r="C67" s="4"/>
      <c r="D67" s="4"/>
      <c r="E67" s="4"/>
      <c r="F67" s="4"/>
    </row>
    <row r="68" spans="1:6" ht="30" x14ac:dyDescent="0.25">
      <c r="A68" s="3" t="s">
        <v>282</v>
      </c>
      <c r="B68" s="4"/>
      <c r="C68" s="4"/>
      <c r="D68" s="4"/>
      <c r="E68" s="4"/>
      <c r="F68" s="4"/>
    </row>
  </sheetData>
  <dataValidations count="1">
    <dataValidation type="list" allowBlank="1" sqref="F6 F7 F8 F9 F10 F11 F12 F13 F14 F15 F16 F17 F18 F19 F20 F21 F22 F23 F24 F25 F26 F27 F28 F29 F30 F31 F32 F33 F34 F35 F36 F37 F38 F39 F40 F41 F42 F43 F44 F45 F46 F47 F48 F49 F50 F51 F52 F53 F56 F57 F58 F59 F60 F61 F64 F65" xr:uid="{00000000-0002-0000-0200-000000000000}">
      <formula1>"identifiziert,in Fertigung,gefertigt,verbaut"</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Alle Bauteile</vt:lpstr>
      <vt:lpstr>zu bestellen</vt:lpstr>
      <vt:lpstr>zu fertigen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Kremer</cp:lastModifiedBy>
  <dcterms:created xsi:type="dcterms:W3CDTF">2026-10-27T14:41:34Z</dcterms:created>
  <dcterms:modified xsi:type="dcterms:W3CDTF">2026-10-27T14:44:42Z</dcterms:modified>
</cp:coreProperties>
</file>